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D:\Аналитика\pet-projects\risk_oriented_metrology_system\model\"/>
    </mc:Choice>
  </mc:AlternateContent>
  <xr:revisionPtr revIDLastSave="0" documentId="13_ncr:1_{B8B75012-5EA4-4889-AD5E-46034FFB4848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Сводные" sheetId="1" r:id="rId1"/>
    <sheet name="Дашборд" sheetId="7" r:id="rId2"/>
  </sheets>
  <definedNames>
    <definedName name="Срез_Месяц_Название">#N/A</definedName>
    <definedName name="Срез_Цех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</pivotCaches>
  <extLst>
    <ext xmlns:x14="http://schemas.microsoft.com/office/spreadsheetml/2009/9/main" uri="{876F7934-8845-4945-9796-88D515C7AA90}">
      <x14:pivotCaches>
        <pivotCache cacheId="7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Прайс_26ebff4e-4327-45cd-b0ed-8d2629629e7f" name="Прайс" connection="Запрос — Прайс"/>
          <x15:modelTable id="Стоимость_простоя_5879ecfe-0f73-4796-80c5-ec8d545994a3" name="Стоимость_простоя" connection="Запрос — Стоимость_простоя"/>
          <x15:modelTable id="Перечни_из_цехов_7db7cfa9-642f-4373-8234-408ff114df5b" name="Перечни_из_цехов" connection="Запрос — Перечни_из_цехов"/>
          <x15:modelTable id="Журнал_выполнение_490c33bc-79b7-4ac5-bbd6-9f1b0c1691de" name="Журнал_выполнение" connection="Запрос — Журнал_выполнение"/>
        </x15:modelTables>
        <x15:modelRelationships>
          <x15:modelRelationship fromTable="Перечни_из_цехов" fromColumn="Название_СИ" toTable="Прайс" toColumn="Название_СИ"/>
          <x15:modelRelationship fromTable="Перечни_из_цехов" fromColumn="Цех" toTable="Стоимость_простоя" toColumn="Цех"/>
          <x15:modelRelationship fromTable="Журнал_выполнение" fromColumn="Заводской_номер" toTable="Перечни_из_цехов" toColumn="Заводской_номер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4" i="1" l="1"/>
  <c r="G67" i="1"/>
  <c r="G68" i="1"/>
  <c r="G69" i="1"/>
  <c r="G70" i="1"/>
  <c r="G71" i="1"/>
  <c r="G72" i="1"/>
  <c r="G73" i="1"/>
  <c r="G66" i="1"/>
  <c r="H71" i="1"/>
  <c r="H68" i="1"/>
  <c r="I70" i="1"/>
  <c r="I72" i="1"/>
  <c r="I68" i="1"/>
  <c r="I69" i="1"/>
  <c r="I74" i="1"/>
  <c r="H74" i="1"/>
  <c r="I71" i="1"/>
  <c r="I67" i="1"/>
  <c r="B144" i="1"/>
  <c r="H72" i="1"/>
  <c r="H69" i="1"/>
  <c r="H73" i="1"/>
  <c r="H66" i="1"/>
  <c r="I73" i="1"/>
  <c r="I66" i="1"/>
  <c r="H67" i="1"/>
  <c r="H7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A4303B-8859-45B8-A3B3-543ABBE84460}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85ECF-57B3-4A57-8DF6-8619108D8888}" keepAlive="1" name="Запрос — FolderPath" description="Соединение с запросом &quot;FolderPath&quot; в книге." type="5" refreshedVersion="0" background="1">
    <dbPr connection="Provider=Microsoft.Mashup.OleDb.1;Data Source=$Workbook$;Location=FolderPath;Extended Properties=&quot;&quot;" command="SELECT * FROM [FolderPath]"/>
  </connection>
  <connection id="3" xr16:uid="{0C7E9810-3262-4D62-BBF6-2A9594536358}" name="Запрос — Журнал_выполнение" description="Соединение с запросом &quot;Журнал_выполнение&quot; в книге." type="100" refreshedVersion="6" minRefreshableVersion="5">
    <extLst>
      <ext xmlns:x15="http://schemas.microsoft.com/office/spreadsheetml/2010/11/main" uri="{DE250136-89BD-433C-8126-D09CA5730AF9}">
        <x15:connection id="90f1c3cf-ce3d-485b-96c6-5a32020abc67"/>
      </ext>
    </extLst>
  </connection>
  <connection id="4" xr16:uid="{B9ED5BAC-D1D6-4D9A-A7F0-9576118026CE}" name="Запрос — Перечни_из_цехов" description="Соединение с запросом &quot;Перечни_из_цехов&quot; в книге." type="100" refreshedVersion="6" minRefreshableVersion="5">
    <extLst>
      <ext xmlns:x15="http://schemas.microsoft.com/office/spreadsheetml/2010/11/main" uri="{DE250136-89BD-433C-8126-D09CA5730AF9}">
        <x15:connection id="4ca0928d-64c3-4cd0-aebc-82d995512365"/>
      </ext>
    </extLst>
  </connection>
  <connection id="5" xr16:uid="{C7CF0012-E6F5-4B37-A50F-E083E982C5E0}" name="Запрос — Прайс" description="Соединение с запросом &quot;Прайс&quot; в книге." type="100" refreshedVersion="6" minRefreshableVersion="5">
    <extLst>
      <ext xmlns:x15="http://schemas.microsoft.com/office/spreadsheetml/2010/11/main" uri="{DE250136-89BD-433C-8126-D09CA5730AF9}">
        <x15:connection id="4dae0189-72ec-4609-ba9d-3d651e290150"/>
      </ext>
    </extLst>
  </connection>
  <connection id="6" xr16:uid="{AD6FB374-4842-4D12-B73C-3D80D4C899AA}" name="Запрос — Стоимость_простоя" description="Соединение с запросом &quot;Стоимость_простоя&quot; в книге." type="100" refreshedVersion="6" minRefreshableVersion="5">
    <extLst>
      <ext xmlns:x15="http://schemas.microsoft.com/office/spreadsheetml/2010/11/main" uri="{DE250136-89BD-433C-8126-D09CA5730AF9}">
        <x15:connection id="17d7a02d-4839-4ff0-ab43-b150063c000a"/>
      </ext>
    </extLst>
  </connection>
</connections>
</file>

<file path=xl/sharedStrings.xml><?xml version="1.0" encoding="utf-8"?>
<sst xmlns="http://schemas.openxmlformats.org/spreadsheetml/2006/main" count="81" uniqueCount="48">
  <si>
    <t>Названия строк</t>
  </si>
  <si>
    <t>Водоснабжение</t>
  </si>
  <si>
    <t>Газовая котельная</t>
  </si>
  <si>
    <t>Лаборатория</t>
  </si>
  <si>
    <t>МЭЦ (Экстракция)</t>
  </si>
  <si>
    <t>Прессовый цех</t>
  </si>
  <si>
    <t>Служба механиков</t>
  </si>
  <si>
    <t>Фасовка</t>
  </si>
  <si>
    <t>Цех рафинации</t>
  </si>
  <si>
    <t>Элеватор</t>
  </si>
  <si>
    <t>Общий итог</t>
  </si>
  <si>
    <t>Потенциальный_Риск_Цеха</t>
  </si>
  <si>
    <t>Реальный_Убыток_Просрочки</t>
  </si>
  <si>
    <t>Бюджет_Поверок</t>
  </si>
  <si>
    <t>Число элементов в столбце Заводской_номер</t>
  </si>
  <si>
    <t>Среднее по столбцу Цена_часа_простоя_руб</t>
  </si>
  <si>
    <t>Цех</t>
  </si>
  <si>
    <t>Количество СИ (Ось X)</t>
  </si>
  <si>
    <t>Цена простоя, руб (Ось Y)</t>
  </si>
  <si>
    <t>Ось X</t>
  </si>
  <si>
    <t>Ось Y</t>
  </si>
  <si>
    <t>Класс А</t>
  </si>
  <si>
    <t>Класс В</t>
  </si>
  <si>
    <t>Класс С</t>
  </si>
  <si>
    <t xml:space="preserve">ABC-анализ критичности оборудования и рисков простоя  </t>
  </si>
  <si>
    <t>Анализатор</t>
  </si>
  <si>
    <t>Блок</t>
  </si>
  <si>
    <t>Весы</t>
  </si>
  <si>
    <t>Датчик</t>
  </si>
  <si>
    <t>Манометр</t>
  </si>
  <si>
    <t>Расходомер</t>
  </si>
  <si>
    <t>Термометр</t>
  </si>
  <si>
    <t>Риск_SLA_Поставок</t>
  </si>
  <si>
    <t>Риск срыва SLA поставок в ритейл, руб</t>
  </si>
  <si>
    <t>Потенциальные потери:  &amp; ТЕКСТ(ПОЛУЧИТЬ.ДАННЫЕ.СВОДНОЙ.ТАБЛИЦЫ("Убыток",$A$3), "0") &amp; " руб."</t>
  </si>
  <si>
    <t xml:space="preserve">Система риск-ориентированного управления измерительными активами пищевого комбината 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</si>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</sst>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5" formatCode="#,##0\ &quot;₽&quot;;\-#,##0\ &quot;₽&quot;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8"/>
      <color theme="2" tint="-0.74999237037263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5" fontId="0" fillId="0" borderId="0" xfId="0" applyNumberFormat="1"/>
  </cellXfs>
  <cellStyles count="1">
    <cellStyle name="Обычный" xfId="0" builtinId="0"/>
  </cellStyles>
  <dxfs count="5">
    <dxf>
      <numFmt numFmtId="164" formatCode="_-* #,##0_-;\-* #,##0_-;_-* &quot;-&quot;??_-;_-@_-"/>
    </dxf>
    <dxf>
      <fill>
        <patternFill>
          <bgColor theme="4" tint="0.79998168889431442"/>
        </patternFill>
      </fill>
    </dxf>
    <dxf>
      <font>
        <color theme="2" tint="-0.749961851863155"/>
      </font>
      <fill>
        <patternFill patternType="none">
          <bgColor auto="1"/>
        </patternFill>
      </fill>
      <border>
        <bottom style="thin">
          <color auto="1"/>
        </bottom>
      </border>
    </dxf>
    <dxf>
      <fill>
        <patternFill patternType="none">
          <fgColor auto="1"/>
          <bgColor auto="1"/>
        </patternFill>
      </fill>
    </dxf>
    <dxf>
      <font>
        <color theme="4" tint="0.59996337778862885"/>
      </font>
    </dxf>
  </dxfs>
  <tableStyles count="3" defaultTableStyle="TableStyleMedium2" defaultPivotStyle="PivotStyleLight16">
    <tableStyle name="Стиль среза 1" pivot="0" table="0" count="1" xr9:uid="{31543B1A-16BD-4238-A841-556A1C4C428E}">
      <tableStyleElement type="wholeTable" dxfId="4"/>
    </tableStyle>
    <tableStyle name="Стиль среза 2" pivot="0" table="0" count="3" xr9:uid="{B7FF8C10-1669-46A9-A8BD-7C8BFA0D6ECC}">
      <tableStyleElement type="wholeTable" dxfId="3"/>
      <tableStyleElement type="headerRow" dxfId="2"/>
    </tableStyle>
    <tableStyle name="Стиль среза 3" pivot="0" table="0" count="1" xr9:uid="{94382E17-8300-4A45-B22E-DAF6663607B2}">
      <tableStyleElement type="wholeTable" dxfId="1"/>
    </tableStyle>
  </tableStyles>
  <colors>
    <mruColors>
      <color rgb="FF799AD5"/>
      <color rgb="FF5687CE"/>
      <color rgb="FF5982CB"/>
      <color rgb="FFE4654C"/>
    </mruColors>
  </colors>
  <extLst>
    <ext xmlns:x14="http://schemas.microsoft.com/office/spreadsheetml/2009/9/main" uri="{46F421CA-312F-682f-3DD2-61675219B42D}">
      <x14:dxfs count="1">
        <dxf>
          <fill>
            <gradientFill degree="90">
              <stop position="0">
                <color theme="4" tint="0.59999389629810485"/>
              </stop>
              <stop position="1">
                <color theme="4" tint="0.59999389629810485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Стиль среза 1"/>
        <x14:slicerStyle name="Стиль среза 2">
          <x14:slicerStyleElements>
            <x14:slicerStyleElement type="selectedItemWithData" dxfId="0"/>
          </x14:slicerStyleElements>
        </x14:slicerStyle>
        <x14:slicerStyle name="Стиль среза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5.xml"/><Relationship Id="rId12" Type="http://schemas.microsoft.com/office/2007/relationships/slicerCache" Target="slicerCaches/slicerCache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[risk_oriented_metrology_system.xlsx]Сводные!Сводная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Профиль технологического риска по цехам (Макс. угроза), руб.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Сводные!$C$2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D-4EA9-8840-6F98C24CFE7F}"/>
              </c:ext>
            </c:extLst>
          </c:dPt>
          <c:cat>
            <c:strRef>
              <c:f>Сводные!$B$3:$B$12</c:f>
              <c:strCache>
                <c:ptCount val="9"/>
                <c:pt idx="0">
                  <c:v>Служба механиков</c:v>
                </c:pt>
                <c:pt idx="1">
                  <c:v>Лаборатория</c:v>
                </c:pt>
                <c:pt idx="2">
                  <c:v>Элеватор</c:v>
                </c:pt>
                <c:pt idx="3">
                  <c:v>Водоснабжение</c:v>
                </c:pt>
                <c:pt idx="4">
                  <c:v>Газовая котельная</c:v>
                </c:pt>
                <c:pt idx="5">
                  <c:v>Цех рафинации</c:v>
                </c:pt>
                <c:pt idx="6">
                  <c:v>Прессовый цех</c:v>
                </c:pt>
                <c:pt idx="7">
                  <c:v>Фасовка</c:v>
                </c:pt>
                <c:pt idx="8">
                  <c:v>МЭЦ (Экстракция)</c:v>
                </c:pt>
              </c:strCache>
            </c:strRef>
          </c:cat>
          <c:val>
            <c:numRef>
              <c:f>Сводные!$C$3:$C$12</c:f>
              <c:numCache>
                <c:formatCode>General</c:formatCode>
                <c:ptCount val="9"/>
                <c:pt idx="0">
                  <c:v>12000</c:v>
                </c:pt>
                <c:pt idx="1">
                  <c:v>50000</c:v>
                </c:pt>
                <c:pt idx="2">
                  <c:v>250000</c:v>
                </c:pt>
                <c:pt idx="3">
                  <c:v>400000</c:v>
                </c:pt>
                <c:pt idx="4">
                  <c:v>810000</c:v>
                </c:pt>
                <c:pt idx="5">
                  <c:v>1040000</c:v>
                </c:pt>
                <c:pt idx="6">
                  <c:v>1800000</c:v>
                </c:pt>
                <c:pt idx="7">
                  <c:v>1800000</c:v>
                </c:pt>
                <c:pt idx="8">
                  <c:v>2400000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9-4A7A-BD36-2FCE00532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856649032"/>
        <c:axId val="856649360"/>
      </c:barChart>
      <c:catAx>
        <c:axId val="856649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6649360"/>
        <c:crosses val="autoZero"/>
        <c:auto val="1"/>
        <c:lblAlgn val="ctr"/>
        <c:lblOffset val="100"/>
        <c:noMultiLvlLbl val="0"/>
      </c:catAx>
      <c:valAx>
        <c:axId val="8566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664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[risk_oriented_metrology_system.xlsx]Сводные!Сводная таблица2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Фактический ущерб от просрочки сервисных интервалов, руб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E465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Сводные!$C$22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E4654C"/>
            </a:solidFill>
            <a:ln>
              <a:noFill/>
            </a:ln>
            <a:effectLst/>
          </c:spPr>
          <c:invertIfNegative val="0"/>
          <c:cat>
            <c:strRef>
              <c:f>Сводные!$B$23:$B$32</c:f>
              <c:strCache>
                <c:ptCount val="9"/>
                <c:pt idx="0">
                  <c:v>МЭЦ (Экстракция)</c:v>
                </c:pt>
                <c:pt idx="1">
                  <c:v>Фасовка</c:v>
                </c:pt>
                <c:pt idx="2">
                  <c:v>Газовая котельная</c:v>
                </c:pt>
                <c:pt idx="3">
                  <c:v>Служба механиков</c:v>
                </c:pt>
                <c:pt idx="4">
                  <c:v>Лаборатория</c:v>
                </c:pt>
                <c:pt idx="5">
                  <c:v>Водоснабжение</c:v>
                </c:pt>
                <c:pt idx="6">
                  <c:v>Элеватор</c:v>
                </c:pt>
                <c:pt idx="7">
                  <c:v>Цех рафинации</c:v>
                </c:pt>
                <c:pt idx="8">
                  <c:v>Прессовый цех</c:v>
                </c:pt>
              </c:strCache>
            </c:strRef>
          </c:cat>
          <c:val>
            <c:numRef>
              <c:f>Сводные!$C$23:$C$32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129600</c:v>
                </c:pt>
                <c:pt idx="4">
                  <c:v>168000</c:v>
                </c:pt>
                <c:pt idx="5">
                  <c:v>360000</c:v>
                </c:pt>
                <c:pt idx="6">
                  <c:v>2640000</c:v>
                </c:pt>
                <c:pt idx="7">
                  <c:v>7296000</c:v>
                </c:pt>
                <c:pt idx="8">
                  <c:v>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0-476B-A785-8A4C3899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123912480"/>
        <c:axId val="1123912152"/>
      </c:barChart>
      <c:catAx>
        <c:axId val="112391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912152"/>
        <c:crosses val="autoZero"/>
        <c:auto val="1"/>
        <c:lblAlgn val="ctr"/>
        <c:lblOffset val="100"/>
        <c:noMultiLvlLbl val="0"/>
      </c:catAx>
      <c:valAx>
        <c:axId val="112391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91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[risk_oriented_metrology_system.xlsx]Сводные!Сводная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Бюджет vs Риски по месяцам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Сводные!$C$42</c:f>
              <c:strCache>
                <c:ptCount val="1"/>
                <c:pt idx="0">
                  <c:v>Бюджет_Поверок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Сводные!$B$43:$B$55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Сводные!$C$43:$C$55</c:f>
              <c:numCache>
                <c:formatCode>"₽"#,##0_);\("₽"#,##0\)</c:formatCode>
                <c:ptCount val="12"/>
                <c:pt idx="0">
                  <c:v>48750</c:v>
                </c:pt>
                <c:pt idx="1">
                  <c:v>79100</c:v>
                </c:pt>
                <c:pt idx="2">
                  <c:v>111150</c:v>
                </c:pt>
                <c:pt idx="3">
                  <c:v>109400</c:v>
                </c:pt>
                <c:pt idx="4">
                  <c:v>68900</c:v>
                </c:pt>
                <c:pt idx="5">
                  <c:v>73700</c:v>
                </c:pt>
                <c:pt idx="6">
                  <c:v>117700</c:v>
                </c:pt>
                <c:pt idx="7">
                  <c:v>105650</c:v>
                </c:pt>
                <c:pt idx="8">
                  <c:v>579050</c:v>
                </c:pt>
                <c:pt idx="9">
                  <c:v>114200</c:v>
                </c:pt>
                <c:pt idx="10">
                  <c:v>115500</c:v>
                </c:pt>
                <c:pt idx="11">
                  <c:v>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8-4405-A137-DDC70AA0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128680"/>
        <c:axId val="1126129336"/>
      </c:barChart>
      <c:lineChart>
        <c:grouping val="standard"/>
        <c:varyColors val="0"/>
        <c:ser>
          <c:idx val="1"/>
          <c:order val="1"/>
          <c:tx>
            <c:strRef>
              <c:f>Сводные!$D$42</c:f>
              <c:strCache>
                <c:ptCount val="1"/>
                <c:pt idx="0">
                  <c:v>Потенциальный_Риск_Цеха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Сводные!$B$43:$B$55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Сводные!$D$43:$D$55</c:f>
              <c:numCache>
                <c:formatCode>General</c:formatCode>
                <c:ptCount val="12"/>
                <c:pt idx="0">
                  <c:v>317000</c:v>
                </c:pt>
                <c:pt idx="1">
                  <c:v>575600</c:v>
                </c:pt>
                <c:pt idx="2">
                  <c:v>536200</c:v>
                </c:pt>
                <c:pt idx="3">
                  <c:v>634800</c:v>
                </c:pt>
                <c:pt idx="4">
                  <c:v>500600</c:v>
                </c:pt>
                <c:pt idx="5">
                  <c:v>635800</c:v>
                </c:pt>
                <c:pt idx="6">
                  <c:v>632200</c:v>
                </c:pt>
                <c:pt idx="7">
                  <c:v>401600</c:v>
                </c:pt>
                <c:pt idx="8">
                  <c:v>2911200</c:v>
                </c:pt>
                <c:pt idx="9">
                  <c:v>753000</c:v>
                </c:pt>
                <c:pt idx="10">
                  <c:v>325000</c:v>
                </c:pt>
                <c:pt idx="11">
                  <c:v>339000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8-4405-A137-DDC70AA0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309336"/>
        <c:axId val="1160309664"/>
      </c:lineChart>
      <c:catAx>
        <c:axId val="112612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6129336"/>
        <c:crosses val="autoZero"/>
        <c:auto val="1"/>
        <c:lblAlgn val="ctr"/>
        <c:lblOffset val="100"/>
        <c:noMultiLvlLbl val="0"/>
      </c:catAx>
      <c:valAx>
        <c:axId val="112612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_);\(&quot;₽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6128680"/>
        <c:crosses val="autoZero"/>
        <c:crossBetween val="between"/>
      </c:valAx>
      <c:valAx>
        <c:axId val="1160309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0309336"/>
        <c:crosses val="max"/>
        <c:crossBetween val="between"/>
      </c:valAx>
      <c:catAx>
        <c:axId val="1160309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0309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Матрица классификации цехов по уровню метрологического риска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48094CF-06B4-4C19-9464-08F9BFF8D8C0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290-41ED-BD5A-45BF295981D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E09A04-08EB-4B7E-AC95-3E6468ACE1C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290-41ED-BD5A-45BF295981D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3C8A86-0004-49A2-B756-CBD098B5BB4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290-41ED-BD5A-45BF295981D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8952A6E-4949-4586-AD8C-2321ADB577F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90-41ED-BD5A-45BF295981D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AE47472-C276-43AA-81D4-96EFBD73E9A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290-41ED-BD5A-45BF295981D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4BB6994-015F-4F26-8125-9B95CD9BBDE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290-41ED-BD5A-45BF295981D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97BE94-75B9-4D9F-82BF-41DC29D5395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290-41ED-BD5A-45BF295981D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7AE22C6-753A-47BD-BC52-75FE7964CCE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290-41ED-BD5A-45BF295981D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74DD05F-E520-41FF-8869-9FAEC670FC0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290-41ED-BD5A-45BF295981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Сводные!$H$66:$H$74</c:f>
              <c:numCache>
                <c:formatCode>General</c:formatCode>
                <c:ptCount val="9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100</c:v>
                </c:pt>
                <c:pt idx="4">
                  <c:v>90</c:v>
                </c:pt>
                <c:pt idx="5">
                  <c:v>20</c:v>
                </c:pt>
                <c:pt idx="6">
                  <c:v>15</c:v>
                </c:pt>
                <c:pt idx="7">
                  <c:v>65</c:v>
                </c:pt>
                <c:pt idx="8">
                  <c:v>25</c:v>
                </c:pt>
              </c:numCache>
            </c:numRef>
          </c:xVal>
          <c:yVal>
            <c:numRef>
              <c:f>Сводные!$I$66:$I$74</c:f>
              <c:numCache>
                <c:formatCode>General</c:formatCode>
                <c:ptCount val="9"/>
                <c:pt idx="0">
                  <c:v>2500</c:v>
                </c:pt>
                <c:pt idx="1">
                  <c:v>6000</c:v>
                </c:pt>
                <c:pt idx="2">
                  <c:v>500</c:v>
                </c:pt>
                <c:pt idx="3">
                  <c:v>12000</c:v>
                </c:pt>
                <c:pt idx="4">
                  <c:v>10000</c:v>
                </c:pt>
                <c:pt idx="5">
                  <c:v>300</c:v>
                </c:pt>
                <c:pt idx="6">
                  <c:v>30000</c:v>
                </c:pt>
                <c:pt idx="7">
                  <c:v>8000</c:v>
                </c:pt>
                <c:pt idx="8">
                  <c:v>5000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Сводные!$G$66:$G$74</c15:f>
                <c15:dlblRangeCache>
                  <c:ptCount val="9"/>
                  <c:pt idx="0">
                    <c:v>Водоснабжение</c:v>
                  </c:pt>
                  <c:pt idx="1">
                    <c:v>Газовая котельная</c:v>
                  </c:pt>
                  <c:pt idx="2">
                    <c:v>Лаборатория</c:v>
                  </c:pt>
                  <c:pt idx="3">
                    <c:v>МЭЦ (Экстракция)</c:v>
                  </c:pt>
                  <c:pt idx="4">
                    <c:v>Прессовый цех</c:v>
                  </c:pt>
                  <c:pt idx="5">
                    <c:v>Служба механиков</c:v>
                  </c:pt>
                  <c:pt idx="6">
                    <c:v>Фасовка</c:v>
                  </c:pt>
                  <c:pt idx="7">
                    <c:v>Цех рафинации</c:v>
                  </c:pt>
                  <c:pt idx="8">
                    <c:v>Элеватор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290-41ED-BD5A-45BF295981D9}"/>
            </c:ext>
          </c:extLst>
        </c:ser>
        <c:ser>
          <c:idx val="1"/>
          <c:order val="1"/>
          <c:tx>
            <c:v>Граница охвата</c:v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65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290-41ED-BD5A-45BF295981D9}"/>
              </c:ext>
            </c:extLst>
          </c:dPt>
          <c:xVal>
            <c:numRef>
              <c:f>Сводные!$K$66:$K$67</c:f>
              <c:numCache>
                <c:formatCode>General</c:formatCode>
                <c:ptCount val="2"/>
                <c:pt idx="0">
                  <c:v>47</c:v>
                </c:pt>
                <c:pt idx="1">
                  <c:v>47</c:v>
                </c:pt>
              </c:numCache>
            </c:numRef>
          </c:xVal>
          <c:yVal>
            <c:numRef>
              <c:f>Сводные!$L$66:$L$67</c:f>
              <c:numCache>
                <c:formatCode>General</c:formatCode>
                <c:ptCount val="2"/>
                <c:pt idx="0">
                  <c:v>100</c:v>
                </c:pt>
                <c:pt idx="1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290-41ED-BD5A-45BF295981D9}"/>
            </c:ext>
          </c:extLst>
        </c:ser>
        <c:ser>
          <c:idx val="2"/>
          <c:order val="2"/>
          <c:tx>
            <c:v>Граница потерь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290-41ED-BD5A-45BF295981D9}"/>
              </c:ext>
            </c:extLst>
          </c:dPt>
          <c:xVal>
            <c:numRef>
              <c:f>Сводные!$K$71:$K$72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Сводные!$L$71:$L$72</c:f>
              <c:numCache>
                <c:formatCode>General</c:formatCode>
                <c:ptCount val="2"/>
                <c:pt idx="0">
                  <c:v>4000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290-41ED-BD5A-45BF29598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438128"/>
        <c:axId val="1240438456"/>
      </c:scatterChart>
      <c:valAx>
        <c:axId val="124043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0438456"/>
        <c:crosses val="autoZero"/>
        <c:crossBetween val="midCat"/>
      </c:valAx>
      <c:valAx>
        <c:axId val="1240438456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043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[risk_oriented_metrology_system.xlsx]Сводные!Сводная таблица5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Распределение парка СИ по классам бизнес-критичности (</a:t>
            </a:r>
            <a:r>
              <a:rPr lang="en-US" sz="1400" b="0" i="0" u="none" strike="noStrike" baseline="0"/>
              <a:t>ABC)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4654C"/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Сводные!$C$102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465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44D-4F2B-A0E1-09B3D728FB8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4D-4F2B-A0E1-09B3D728FB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44D-4F2B-A0E1-09B3D728FB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Сводные!$B$103:$B$106</c:f>
              <c:strCache>
                <c:ptCount val="3"/>
                <c:pt idx="0">
                  <c:v>Класс А</c:v>
                </c:pt>
                <c:pt idx="1">
                  <c:v>Класс В</c:v>
                </c:pt>
                <c:pt idx="2">
                  <c:v>Класс С</c:v>
                </c:pt>
              </c:strCache>
            </c:strRef>
          </c:cat>
          <c:val>
            <c:numRef>
              <c:f>Сводные!$C$103:$C$106</c:f>
              <c:numCache>
                <c:formatCode>General</c:formatCode>
                <c:ptCount val="3"/>
                <c:pt idx="0">
                  <c:v>75</c:v>
                </c:pt>
                <c:pt idx="1">
                  <c:v>147</c:v>
                </c:pt>
                <c:pt idx="2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D-4F2B-A0E1-09B3D728FB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2018272"/>
        <c:axId val="1222014664"/>
      </c:barChart>
      <c:catAx>
        <c:axId val="12220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2014664"/>
        <c:crosses val="autoZero"/>
        <c:auto val="1"/>
        <c:lblAlgn val="ctr"/>
        <c:lblOffset val="100"/>
        <c:noMultiLvlLbl val="0"/>
      </c:catAx>
      <c:valAx>
        <c:axId val="1222014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201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[risk_oriented_metrology_system.xlsx]Сводные!Сводная таблица6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Доля рисков по типам приборов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Сводные!$C$125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81-4BDB-9529-270AB6623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81-4BDB-9529-270AB6623D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81-4BDB-9529-270AB6623D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81-4BDB-9529-270AB6623D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81-4BDB-9529-270AB6623D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81-4BDB-9529-270AB6623D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81-4BDB-9529-270AB6623DA3}"/>
              </c:ext>
            </c:extLst>
          </c:dPt>
          <c:cat>
            <c:strRef>
              <c:f>Сводные!$B$126:$B$133</c:f>
              <c:strCache>
                <c:ptCount val="7"/>
                <c:pt idx="0">
                  <c:v>Анализатор</c:v>
                </c:pt>
                <c:pt idx="1">
                  <c:v>Блок</c:v>
                </c:pt>
                <c:pt idx="2">
                  <c:v>Весы</c:v>
                </c:pt>
                <c:pt idx="3">
                  <c:v>Датчик</c:v>
                </c:pt>
                <c:pt idx="4">
                  <c:v>Манометр</c:v>
                </c:pt>
                <c:pt idx="5">
                  <c:v>Расходомер</c:v>
                </c:pt>
                <c:pt idx="6">
                  <c:v>Термометр</c:v>
                </c:pt>
              </c:strCache>
            </c:strRef>
          </c:cat>
          <c:val>
            <c:numRef>
              <c:f>Сводные!$C$126:$C$133</c:f>
              <c:numCache>
                <c:formatCode>General</c:formatCode>
                <c:ptCount val="7"/>
                <c:pt idx="0">
                  <c:v>11000</c:v>
                </c:pt>
                <c:pt idx="1">
                  <c:v>1480000</c:v>
                </c:pt>
                <c:pt idx="2">
                  <c:v>45000</c:v>
                </c:pt>
                <c:pt idx="3">
                  <c:v>2928000</c:v>
                </c:pt>
                <c:pt idx="4">
                  <c:v>2193600</c:v>
                </c:pt>
                <c:pt idx="5">
                  <c:v>1188000</c:v>
                </c:pt>
                <c:pt idx="6">
                  <c:v>716400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B-4EE3-8B4E-973019088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[risk_oriented_metrology_system.xlsx]Сводные!Сводная таблица3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Бюджет vs Риски по месяцам </a:t>
            </a:r>
            <a:endParaRPr lang="ru-RU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53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36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E4654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Сводные!$C$42</c:f>
              <c:strCache>
                <c:ptCount val="1"/>
                <c:pt idx="0">
                  <c:v>Бюджет_Поверок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7000"/>
                  </a:schemeClr>
                </a:gs>
                <a:gs pos="53000">
                  <a:schemeClr val="accent5">
                    <a:lumMod val="97000"/>
                    <a:lumOff val="3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36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Сводные!$B$43:$B$55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Сводные!$C$43:$C$55</c:f>
              <c:numCache>
                <c:formatCode>"₽"#,##0_);\("₽"#,##0\)</c:formatCode>
                <c:ptCount val="12"/>
                <c:pt idx="0">
                  <c:v>48750</c:v>
                </c:pt>
                <c:pt idx="1">
                  <c:v>79100</c:v>
                </c:pt>
                <c:pt idx="2">
                  <c:v>111150</c:v>
                </c:pt>
                <c:pt idx="3">
                  <c:v>109400</c:v>
                </c:pt>
                <c:pt idx="4">
                  <c:v>68900</c:v>
                </c:pt>
                <c:pt idx="5">
                  <c:v>73700</c:v>
                </c:pt>
                <c:pt idx="6">
                  <c:v>117700</c:v>
                </c:pt>
                <c:pt idx="7">
                  <c:v>105650</c:v>
                </c:pt>
                <c:pt idx="8">
                  <c:v>579050</c:v>
                </c:pt>
                <c:pt idx="9">
                  <c:v>114200</c:v>
                </c:pt>
                <c:pt idx="10">
                  <c:v>115500</c:v>
                </c:pt>
                <c:pt idx="11">
                  <c:v>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F-4B93-B897-540879C50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128680"/>
        <c:axId val="1126129336"/>
      </c:barChart>
      <c:lineChart>
        <c:grouping val="standard"/>
        <c:varyColors val="0"/>
        <c:ser>
          <c:idx val="1"/>
          <c:order val="1"/>
          <c:tx>
            <c:strRef>
              <c:f>Сводные!$D$42</c:f>
              <c:strCache>
                <c:ptCount val="1"/>
                <c:pt idx="0">
                  <c:v>Потенциальный_Риск_Цеха</c:v>
                </c:pt>
              </c:strCache>
            </c:strRef>
          </c:tx>
          <c:spPr>
            <a:ln w="28575" cap="rnd">
              <a:solidFill>
                <a:srgbClr val="E4654C"/>
              </a:solidFill>
              <a:round/>
            </a:ln>
            <a:effectLst/>
          </c:spPr>
          <c:marker>
            <c:symbol val="none"/>
          </c:marker>
          <c:cat>
            <c:strRef>
              <c:f>Сводные!$B$43:$B$55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Сводные!$D$43:$D$55</c:f>
              <c:numCache>
                <c:formatCode>General</c:formatCode>
                <c:ptCount val="12"/>
                <c:pt idx="0">
                  <c:v>317000</c:v>
                </c:pt>
                <c:pt idx="1">
                  <c:v>575600</c:v>
                </c:pt>
                <c:pt idx="2">
                  <c:v>536200</c:v>
                </c:pt>
                <c:pt idx="3">
                  <c:v>634800</c:v>
                </c:pt>
                <c:pt idx="4">
                  <c:v>500600</c:v>
                </c:pt>
                <c:pt idx="5">
                  <c:v>635800</c:v>
                </c:pt>
                <c:pt idx="6">
                  <c:v>632200</c:v>
                </c:pt>
                <c:pt idx="7">
                  <c:v>401600</c:v>
                </c:pt>
                <c:pt idx="8">
                  <c:v>2911200</c:v>
                </c:pt>
                <c:pt idx="9">
                  <c:v>753000</c:v>
                </c:pt>
                <c:pt idx="10">
                  <c:v>325000</c:v>
                </c:pt>
                <c:pt idx="11">
                  <c:v>339000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EF-4B93-B897-540879C50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309336"/>
        <c:axId val="1160309664"/>
      </c:lineChart>
      <c:catAx>
        <c:axId val="112612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6129336"/>
        <c:crosses val="autoZero"/>
        <c:auto val="1"/>
        <c:lblAlgn val="ctr"/>
        <c:lblOffset val="100"/>
        <c:noMultiLvlLbl val="0"/>
      </c:catAx>
      <c:valAx>
        <c:axId val="1126129336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_);\(&quot;₽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6128680"/>
        <c:crosses val="autoZero"/>
        <c:crossBetween val="between"/>
      </c:valAx>
      <c:valAx>
        <c:axId val="1160309664"/>
        <c:scaling>
          <c:orientation val="minMax"/>
          <c:max val="3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0309336"/>
        <c:crosses val="max"/>
        <c:crossBetween val="between"/>
      </c:valAx>
      <c:catAx>
        <c:axId val="1160309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0309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Матрица классификации цехов по уровню метрологического риска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CF7E8A8-5F85-4D66-AF4E-05E5DEF52F3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B91-44EF-A3E7-E09D636AFA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F3714CF-FCAE-4A0F-8A99-8A14DE81EAC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B91-44EF-A3E7-E09D636AFA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88F463E-DA7E-4837-AF4D-87A84A4F7EB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B91-44EF-A3E7-E09D636AFA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B68B47-A2E0-4B5F-AF78-3F8B6E018C2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B91-44EF-A3E7-E09D636AFA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BB499B-E893-4A49-A0F9-5CBD45E87B0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B91-44EF-A3E7-E09D636AFA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6270372-BE05-41FE-BB5F-E82FFA4B44B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B91-44EF-A3E7-E09D636AFA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BCD196D-2EF6-418B-A733-173230C18A8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B91-44EF-A3E7-E09D636AFA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911F161-AA32-45AA-BC5A-5083226D6F3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B91-44EF-A3E7-E09D636AFA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C8F8F71-74C5-4B91-B9E2-31D6739C60F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B91-44EF-A3E7-E09D636AF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Сводные!$H$66:$H$74</c:f>
              <c:numCache>
                <c:formatCode>General</c:formatCode>
                <c:ptCount val="9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100</c:v>
                </c:pt>
                <c:pt idx="4">
                  <c:v>90</c:v>
                </c:pt>
                <c:pt idx="5">
                  <c:v>20</c:v>
                </c:pt>
                <c:pt idx="6">
                  <c:v>15</c:v>
                </c:pt>
                <c:pt idx="7">
                  <c:v>65</c:v>
                </c:pt>
                <c:pt idx="8">
                  <c:v>25</c:v>
                </c:pt>
              </c:numCache>
            </c:numRef>
          </c:xVal>
          <c:yVal>
            <c:numRef>
              <c:f>Сводные!$I$66:$I$74</c:f>
              <c:numCache>
                <c:formatCode>General</c:formatCode>
                <c:ptCount val="9"/>
                <c:pt idx="0">
                  <c:v>2500</c:v>
                </c:pt>
                <c:pt idx="1">
                  <c:v>6000</c:v>
                </c:pt>
                <c:pt idx="2">
                  <c:v>500</c:v>
                </c:pt>
                <c:pt idx="3">
                  <c:v>12000</c:v>
                </c:pt>
                <c:pt idx="4">
                  <c:v>10000</c:v>
                </c:pt>
                <c:pt idx="5">
                  <c:v>300</c:v>
                </c:pt>
                <c:pt idx="6">
                  <c:v>30000</c:v>
                </c:pt>
                <c:pt idx="7">
                  <c:v>8000</c:v>
                </c:pt>
                <c:pt idx="8">
                  <c:v>5000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Сводные!$G$66:$G$74</c15:f>
                <c15:dlblRangeCache>
                  <c:ptCount val="9"/>
                  <c:pt idx="0">
                    <c:v>Водоснабжение</c:v>
                  </c:pt>
                  <c:pt idx="1">
                    <c:v>Газовая котельная</c:v>
                  </c:pt>
                  <c:pt idx="2">
                    <c:v>Лаборатория</c:v>
                  </c:pt>
                  <c:pt idx="3">
                    <c:v>МЭЦ (Экстракция)</c:v>
                  </c:pt>
                  <c:pt idx="4">
                    <c:v>Прессовый цех</c:v>
                  </c:pt>
                  <c:pt idx="5">
                    <c:v>Служба механиков</c:v>
                  </c:pt>
                  <c:pt idx="6">
                    <c:v>Фасовка</c:v>
                  </c:pt>
                  <c:pt idx="7">
                    <c:v>Цех рафинации</c:v>
                  </c:pt>
                  <c:pt idx="8">
                    <c:v>Элеватор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DB91-44EF-A3E7-E09D636AFAC4}"/>
            </c:ext>
          </c:extLst>
        </c:ser>
        <c:ser>
          <c:idx val="1"/>
          <c:order val="1"/>
          <c:tx>
            <c:v>Граница охвата</c:v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65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91-44EF-A3E7-E09D636AFAC4}"/>
              </c:ext>
            </c:extLst>
          </c:dPt>
          <c:xVal>
            <c:numRef>
              <c:f>Сводные!$K$66:$K$67</c:f>
              <c:numCache>
                <c:formatCode>General</c:formatCode>
                <c:ptCount val="2"/>
                <c:pt idx="0">
                  <c:v>47</c:v>
                </c:pt>
                <c:pt idx="1">
                  <c:v>47</c:v>
                </c:pt>
              </c:numCache>
            </c:numRef>
          </c:xVal>
          <c:yVal>
            <c:numRef>
              <c:f>Сводные!$L$66:$L$67</c:f>
              <c:numCache>
                <c:formatCode>General</c:formatCode>
                <c:ptCount val="2"/>
                <c:pt idx="0">
                  <c:v>100</c:v>
                </c:pt>
                <c:pt idx="1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B91-44EF-A3E7-E09D636AFAC4}"/>
            </c:ext>
          </c:extLst>
        </c:ser>
        <c:ser>
          <c:idx val="2"/>
          <c:order val="2"/>
          <c:tx>
            <c:v>Граница потерь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DB91-44EF-A3E7-E09D636AFAC4}"/>
              </c:ext>
            </c:extLst>
          </c:dPt>
          <c:xVal>
            <c:numRef>
              <c:f>Сводные!$K$71:$K$72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Сводные!$L$71:$L$72</c:f>
              <c:numCache>
                <c:formatCode>General</c:formatCode>
                <c:ptCount val="2"/>
                <c:pt idx="0">
                  <c:v>4000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B91-44EF-A3E7-E09D636AF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438128"/>
        <c:axId val="1240438456"/>
      </c:scatterChart>
      <c:valAx>
        <c:axId val="124043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0438456"/>
        <c:crosses val="autoZero"/>
        <c:crossBetween val="midCat"/>
      </c:valAx>
      <c:valAx>
        <c:axId val="1240438456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043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5400">
        <a:schemeClr val="bg1">
          <a:lumMod val="95000"/>
        </a:schemeClr>
      </a:glow>
      <a:outerShdw blurRad="63500" sx="102000" sy="102000" algn="ctr" rotWithShape="0">
        <a:schemeClr val="bg1">
          <a:lumMod val="85000"/>
          <a:alpha val="40000"/>
        </a:schemeClr>
      </a:outerShdw>
      <a:softEdge rad="0"/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[risk_oriented_metrology_system.xlsx]Сводные!Сводная таблица5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Распределение парка СИ по классам бизнес-критичности (</a:t>
            </a:r>
            <a:r>
              <a:rPr lang="en-US" sz="1400" b="0" i="0" u="none" strike="noStrike" baseline="0"/>
              <a:t>ABC)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4654C"/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4654C"/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4654C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Сводные!$C$102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465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6E-4587-BF09-DD5D6C2A1A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6E-4587-BF09-DD5D6C2A1A2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6E-4587-BF09-DD5D6C2A1A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Сводные!$B$103:$B$106</c:f>
              <c:strCache>
                <c:ptCount val="3"/>
                <c:pt idx="0">
                  <c:v>Класс А</c:v>
                </c:pt>
                <c:pt idx="1">
                  <c:v>Класс В</c:v>
                </c:pt>
                <c:pt idx="2">
                  <c:v>Класс С</c:v>
                </c:pt>
              </c:strCache>
            </c:strRef>
          </c:cat>
          <c:val>
            <c:numRef>
              <c:f>Сводные!$C$103:$C$106</c:f>
              <c:numCache>
                <c:formatCode>General</c:formatCode>
                <c:ptCount val="3"/>
                <c:pt idx="0">
                  <c:v>75</c:v>
                </c:pt>
                <c:pt idx="1">
                  <c:v>147</c:v>
                </c:pt>
                <c:pt idx="2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6E-4587-BF09-DD5D6C2A1A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overlap val="-27"/>
        <c:axId val="1222018272"/>
        <c:axId val="1222014664"/>
      </c:barChart>
      <c:catAx>
        <c:axId val="12220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2014664"/>
        <c:crosses val="autoZero"/>
        <c:auto val="1"/>
        <c:lblAlgn val="ctr"/>
        <c:lblOffset val="100"/>
        <c:noMultiLvlLbl val="0"/>
      </c:catAx>
      <c:valAx>
        <c:axId val="1222014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201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[risk_oriented_metrology_system.xlsx]Сводные!Сводная таблица2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Фактический ущерб от просрочки сервисных интервалов, руб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E465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465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465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Сводные!$C$22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E4654C"/>
            </a:solidFill>
            <a:ln>
              <a:noFill/>
            </a:ln>
            <a:effectLst/>
          </c:spPr>
          <c:invertIfNegative val="0"/>
          <c:cat>
            <c:strRef>
              <c:f>Сводные!$B$23:$B$32</c:f>
              <c:strCache>
                <c:ptCount val="9"/>
                <c:pt idx="0">
                  <c:v>МЭЦ (Экстракция)</c:v>
                </c:pt>
                <c:pt idx="1">
                  <c:v>Фасовка</c:v>
                </c:pt>
                <c:pt idx="2">
                  <c:v>Газовая котельная</c:v>
                </c:pt>
                <c:pt idx="3">
                  <c:v>Служба механиков</c:v>
                </c:pt>
                <c:pt idx="4">
                  <c:v>Лаборатория</c:v>
                </c:pt>
                <c:pt idx="5">
                  <c:v>Водоснабжение</c:v>
                </c:pt>
                <c:pt idx="6">
                  <c:v>Элеватор</c:v>
                </c:pt>
                <c:pt idx="7">
                  <c:v>Цех рафинации</c:v>
                </c:pt>
                <c:pt idx="8">
                  <c:v>Прессовый цех</c:v>
                </c:pt>
              </c:strCache>
            </c:strRef>
          </c:cat>
          <c:val>
            <c:numRef>
              <c:f>Сводные!$C$23:$C$32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129600</c:v>
                </c:pt>
                <c:pt idx="4">
                  <c:v>168000</c:v>
                </c:pt>
                <c:pt idx="5">
                  <c:v>360000</c:v>
                </c:pt>
                <c:pt idx="6">
                  <c:v>2640000</c:v>
                </c:pt>
                <c:pt idx="7">
                  <c:v>7296000</c:v>
                </c:pt>
                <c:pt idx="8">
                  <c:v>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D-477D-BABA-32D2DB15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123912480"/>
        <c:axId val="1123912152"/>
      </c:barChart>
      <c:catAx>
        <c:axId val="112391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912152"/>
        <c:crosses val="autoZero"/>
        <c:auto val="1"/>
        <c:lblAlgn val="ctr"/>
        <c:lblOffset val="100"/>
        <c:noMultiLvlLbl val="0"/>
      </c:catAx>
      <c:valAx>
        <c:axId val="112391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91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/>
      </a:glow>
      <a:outerShdw blurRad="63500" sx="102000" sy="102000" algn="ctr" rotWithShape="0">
        <a:schemeClr val="bg1">
          <a:lumMod val="85000"/>
          <a:alpha val="40000"/>
        </a:scheme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1147762</xdr:colOff>
      <xdr:row>0</xdr:row>
      <xdr:rowOff>104775</xdr:rowOff>
    </xdr:from>
    <xdr:to>
      <xdr:col>7</xdr:col>
      <xdr:colOff>1009651</xdr:colOff>
      <xdr:row>18</xdr:row>
      <xdr:rowOff>119063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A9DB9C4-645E-4B31-AD4A-B894D257D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1162050</xdr:colOff>
      <xdr:row>19</xdr:row>
      <xdr:rowOff>42861</xdr:rowOff>
    </xdr:from>
    <xdr:to>
      <xdr:col>7</xdr:col>
      <xdr:colOff>1076325</xdr:colOff>
      <xdr:row>37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9D4D4CA-AB43-47C4-80EB-ED48372DA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542925</xdr:colOff>
      <xdr:row>39</xdr:row>
      <xdr:rowOff>138111</xdr:rowOff>
    </xdr:from>
    <xdr:to>
      <xdr:col>9</xdr:col>
      <xdr:colOff>1276350</xdr:colOff>
      <xdr:row>61</xdr:row>
      <xdr:rowOff>161925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CE23EC7-8671-49B9-A7B0-9DA26C514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942974</xdr:colOff>
      <xdr:row>75</xdr:row>
      <xdr:rowOff>128586</xdr:rowOff>
    </xdr:from>
    <xdr:to>
      <xdr:col>9</xdr:col>
      <xdr:colOff>1343025</xdr:colOff>
      <xdr:row>98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DC118C5-5F0C-47E2-B2A2-0665DE543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695324</xdr:colOff>
      <xdr:row>103</xdr:row>
      <xdr:rowOff>90486</xdr:rowOff>
    </xdr:from>
    <xdr:to>
      <xdr:col>8</xdr:col>
      <xdr:colOff>571499</xdr:colOff>
      <xdr:row>121</xdr:row>
      <xdr:rowOff>38099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59263D5-76DD-4B8D-9009-478A38AC6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709611</xdr:colOff>
      <xdr:row>121</xdr:row>
      <xdr:rowOff>100011</xdr:rowOff>
    </xdr:from>
    <xdr:to>
      <xdr:col>8</xdr:col>
      <xdr:colOff>581024</xdr:colOff>
      <xdr:row>137</xdr:row>
      <xdr:rowOff>38100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218FA2E-B90E-4A5D-8FDE-6998433B1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457201</xdr:colOff>
      <xdr:row>2</xdr:row>
      <xdr:rowOff>19050</xdr:rowOff>
    </xdr:from>
    <xdr:to>
      <xdr:col>22</xdr:col>
      <xdr:colOff>381001</xdr:colOff>
      <xdr:row>20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5114685-A9AF-41CD-B0C1-19870B0D2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285750</xdr:colOff>
      <xdr:row>16</xdr:row>
      <xdr:rowOff>133350</xdr:rowOff>
    </xdr:from>
    <xdr:to>
      <xdr:col>11</xdr:col>
      <xdr:colOff>276225</xdr:colOff>
      <xdr:row>34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4756F09-A59E-4B40-9975-0DBD4A683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447674</xdr:colOff>
      <xdr:row>21</xdr:row>
      <xdr:rowOff>76200</xdr:rowOff>
    </xdr:from>
    <xdr:to>
      <xdr:col>19</xdr:col>
      <xdr:colOff>590549</xdr:colOff>
      <xdr:row>34</xdr:row>
      <xdr:rowOff>85725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3898EAB-A4E3-402B-AD8B-BF0EEA83D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571499</xdr:colOff>
      <xdr:row>6</xdr:row>
      <xdr:rowOff>133350</xdr:rowOff>
    </xdr:from>
    <xdr:to>
      <xdr:col>25</xdr:col>
      <xdr:colOff>409574</xdr:colOff>
      <xdr:row>20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Цех">
              <a:extLst>
                <a:ext uri="{FF2B5EF4-FFF2-40B4-BE49-F238E27FC236}">
                  <a16:creationId xmlns:a16="http://schemas.microsoft.com/office/drawing/2014/main" id="{6AE589AC-FAAE-4F13-A8F4-80D233D008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Це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82699" y="1419225"/>
              <a:ext cx="1666875" cy="2696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22</xdr:col>
      <xdr:colOff>552449</xdr:colOff>
      <xdr:row>1</xdr:row>
      <xdr:rowOff>171450</xdr:rowOff>
    </xdr:from>
    <xdr:to>
      <xdr:col>28</xdr:col>
      <xdr:colOff>476250</xdr:colOff>
      <xdr:row>5</xdr:row>
      <xdr:rowOff>85725</xdr:rowOff>
    </xdr:to>
    <xdr:sp macro="" textlink="Сводные!B144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2E0C85BA-45C6-498D-9DB2-1FA9C526A43A}"/>
            </a:ext>
          </a:extLst>
        </xdr:cNvPr>
        <xdr:cNvSpPr/>
      </xdr:nvSpPr>
      <xdr:spPr>
        <a:xfrm>
          <a:off x="13963649" y="504825"/>
          <a:ext cx="3581401" cy="676275"/>
        </a:xfrm>
        <a:prstGeom prst="roundRect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D818B22F-06E0-403E-BAA4-C56632780046}" type="TxLink">
            <a:rPr lang="ru-RU" sz="1400" b="0" i="0" u="none" strike="noStrike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Риск срыва SLA поставок в ритейл: 1800000 руб.</a:t>
          </a:fld>
          <a:endParaRPr lang="ru-RU" sz="1400">
            <a:solidFill>
              <a:schemeClr val="bg2">
                <a:lumMod val="2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285751</xdr:colOff>
      <xdr:row>2</xdr:row>
      <xdr:rowOff>28575</xdr:rowOff>
    </xdr:from>
    <xdr:to>
      <xdr:col>11</xdr:col>
      <xdr:colOff>295275</xdr:colOff>
      <xdr:row>16</xdr:row>
      <xdr:rowOff>76200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36786AA-A1C7-414C-9667-D841592D5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142875</xdr:colOff>
      <xdr:row>21</xdr:row>
      <xdr:rowOff>85725</xdr:rowOff>
    </xdr:from>
    <xdr:to>
      <xdr:col>28</xdr:col>
      <xdr:colOff>600075</xdr:colOff>
      <xdr:row>34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20180E6-9FF3-4574-9D8A-2A34EFDE6FF9}"/>
            </a:ext>
          </a:extLst>
        </xdr:cNvPr>
        <xdr:cNvSpPr txBox="1"/>
      </xdr:nvSpPr>
      <xdr:spPr>
        <a:xfrm>
          <a:off x="12334875" y="4229100"/>
          <a:ext cx="5334000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bg2">
                  <a:lumMod val="25000"/>
                </a:schemeClr>
              </a:solidFill>
            </a:rPr>
            <a:t>Аналитическая записка </a:t>
          </a:r>
        </a:p>
        <a:p>
          <a:r>
            <a:rPr lang="ru-RU" sz="1100">
              <a:solidFill>
                <a:schemeClr val="bg2">
                  <a:lumMod val="25000"/>
                </a:schemeClr>
              </a:solidFill>
            </a:rPr>
            <a:t>• Фактический ущерб: Накопленные потери от просрочки поверок составили 18,89 млн руб. Ключевые очаги: Прессовый цех (8,4 млн руб.) и Цех рафинации (7,29 млн руб.) — 83% всех потерь.</a:t>
          </a:r>
        </a:p>
        <a:p>
          <a:r>
            <a:rPr lang="ru-RU" sz="1100">
              <a:solidFill>
                <a:schemeClr val="bg2">
                  <a:lumMod val="25000"/>
                </a:schemeClr>
              </a:solidFill>
            </a:rPr>
            <a:t>• Сезонный пик: В сентябре выявлен аномальный риск простоя (</a:t>
          </a:r>
          <a:r>
            <a:rPr lang="en-US" sz="1100">
              <a:solidFill>
                <a:schemeClr val="bg2">
                  <a:lumMod val="25000"/>
                </a:schemeClr>
              </a:solidFill>
            </a:rPr>
            <a:t>~</a:t>
          </a:r>
          <a:r>
            <a:rPr lang="ru-RU" sz="1100">
              <a:solidFill>
                <a:schemeClr val="bg2">
                  <a:lumMod val="25000"/>
                </a:schemeClr>
              </a:solidFill>
            </a:rPr>
            <a:t>3,5 млн руб.) из-за совпадения поверок весов Элеватора с пиком приемки урожая.</a:t>
          </a:r>
        </a:p>
        <a:p>
          <a:r>
            <a:rPr lang="ru-RU" sz="1100">
              <a:solidFill>
                <a:schemeClr val="bg2">
                  <a:lumMod val="25000"/>
                </a:schemeClr>
              </a:solidFill>
            </a:rPr>
            <a:t>• </a:t>
          </a:r>
          <a:r>
            <a:rPr lang="en-US" sz="1100">
              <a:solidFill>
                <a:schemeClr val="bg2">
                  <a:lumMod val="25000"/>
                </a:schemeClr>
              </a:solidFill>
            </a:rPr>
            <a:t>SLA-</a:t>
          </a:r>
          <a:r>
            <a:rPr lang="ru-RU" sz="1100">
              <a:solidFill>
                <a:schemeClr val="bg2">
                  <a:lumMod val="25000"/>
                </a:schemeClr>
              </a:solidFill>
            </a:rPr>
            <a:t>риск: Риск штрафов от сетей за просрочки в цехе Фасовки локализован на уровне 1,8 млн руб.</a:t>
          </a:r>
        </a:p>
        <a:p>
          <a:r>
            <a:rPr lang="ru-RU" sz="1100">
              <a:solidFill>
                <a:schemeClr val="bg2">
                  <a:lumMod val="25000"/>
                </a:schemeClr>
              </a:solidFill>
            </a:rPr>
            <a:t>• Резерв оптимизации: 228 приборов (50% парка) относятся к некритичному Классу С.</a:t>
          </a:r>
        </a:p>
        <a:p>
          <a:endParaRPr lang="ru-RU" sz="1100">
            <a:solidFill>
              <a:schemeClr val="bg2">
                <a:lumMod val="25000"/>
              </a:schemeClr>
            </a:solidFill>
          </a:endParaRPr>
        </a:p>
        <a:p>
          <a:r>
            <a:rPr lang="ru-RU" sz="1100">
              <a:solidFill>
                <a:schemeClr val="bg2">
                  <a:lumMod val="25000"/>
                </a:schemeClr>
              </a:solidFill>
            </a:rPr>
            <a:t>РЕШЕНИЯ:</a:t>
          </a:r>
        </a:p>
        <a:p>
          <a:r>
            <a:rPr lang="ru-RU" sz="1100">
              <a:solidFill>
                <a:schemeClr val="bg2">
                  <a:lumMod val="25000"/>
                </a:schemeClr>
              </a:solidFill>
            </a:rPr>
            <a:t>1. Перенести поверку весов Элеватора с сентября на май.</a:t>
          </a:r>
        </a:p>
        <a:p>
          <a:r>
            <a:rPr lang="ru-RU" sz="1100">
              <a:solidFill>
                <a:schemeClr val="bg2">
                  <a:lumMod val="25000"/>
                </a:schemeClr>
              </a:solidFill>
            </a:rPr>
            <a:t>2. Сдвинуть обслуживание 228 приборов Класса С на зимний период.</a:t>
          </a:r>
        </a:p>
      </xdr:txBody>
    </xdr:sp>
    <xdr:clientData/>
  </xdr:twoCellAnchor>
  <xdr:twoCellAnchor editAs="oneCell">
    <xdr:from>
      <xdr:col>25</xdr:col>
      <xdr:colOff>552450</xdr:colOff>
      <xdr:row>6</xdr:row>
      <xdr:rowOff>123824</xdr:rowOff>
    </xdr:from>
    <xdr:to>
      <xdr:col>28</xdr:col>
      <xdr:colOff>457200</xdr:colOff>
      <xdr:row>20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Месяц_Название 2">
              <a:extLst>
                <a:ext uri="{FF2B5EF4-FFF2-40B4-BE49-F238E27FC236}">
                  <a16:creationId xmlns:a16="http://schemas.microsoft.com/office/drawing/2014/main" id="{E5E06123-2C36-460E-8291-1AF0D9B0B3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_Название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92450" y="1409699"/>
              <a:ext cx="1733550" cy="2714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Марина" refreshedDate="46276.68733090278" backgroundQuery="1" createdVersion="6" refreshedVersion="6" minRefreshableVersion="3" recordCount="0" supportSubquery="1" supportAdvancedDrill="1" xr:uid="{21F76E7A-F108-4996-BAF0-0C09719A4592}">
  <cacheSource type="external" connectionId="1"/>
  <cacheFields count="3">
    <cacheField name="[Перечни_из_цехов].[Цех].[Цех]" caption="Цех" numFmtId="0" hierarchy="8" level="1">
      <sharedItems count="9">
        <s v="Водоснабжение"/>
        <s v="Газовая котельная"/>
        <s v="Лаборатория"/>
        <s v="МЭЦ (Экстракция)"/>
        <s v="Прессовый цех"/>
        <s v="Служба механиков"/>
        <s v="Фасовка"/>
        <s v="Цех рафинации"/>
        <s v="Элеватор"/>
      </sharedItems>
    </cacheField>
    <cacheField name="[Measures].[Потенциальный_Риск_Цеха]" caption="Потенциальный_Риск_Цеха" numFmtId="0" hierarchy="38" level="32767"/>
    <cacheField name="[Перечни_из_цехов].[Месяц_Название].[Месяц_Название]" caption="Месяц_Название" numFmtId="0" hierarchy="25" level="1">
      <sharedItems containsSemiMixedTypes="0" containsNonDate="0" containsString="0"/>
    </cacheField>
  </cacheFields>
  <cacheHierarchies count="47">
    <cacheHierarchy uniqueName="[Журнал_выполнение].[Заводской_номер]" caption="Заводской_номер" attribute="1" defaultMemberUniqueName="[Журнал_выполнение].[Заводской_номер].[All]" allUniqueName="[Журнал_выполнение].[Заводской_номер].[All]" dimensionUniqueName="[Журнал_выполнение]" displayFolder="" count="0" memberValueDatatype="130" unbalanced="0"/>
    <cacheHierarchy uniqueName="[Журнал_выполнение].[Название_СИ]" caption="Название_СИ" attribute="1" defaultMemberUniqueName="[Журнал_выполнение].[Название_СИ].[All]" allUniqueName="[Журнал_выполнение].[Название_СИ].[All]" dimensionUniqueName="[Журнал_выполнение]" displayFolder="" count="0" memberValueDatatype="130" unbalanced="0"/>
    <cacheHierarchy uniqueName="[Журнал_выполнение].[Тип_СИ]" caption="Тип_СИ" attribute="1" defaultMemberUniqueName="[Журнал_выполнение].[Тип_СИ].[All]" allUniqueName="[Журнал_выполнение].[Тип_СИ].[All]" dimensionUniqueName="[Журнал_выполнение]" displayFolder="" count="0" memberValueDatatype="130" unbalanced="0"/>
    <cacheHierarchy uniqueName="[Журнал_выполнение].[Дата_факта]" caption="Дата_факта" attribute="1" time="1" defaultMemberUniqueName="[Журнал_выполнение].[Дата_факта].[All]" allUniqueName="[Журнал_выполнение].[Дата_факта].[All]" dimensionUniqueName="[Журнал_выполнение]" displayFolder="" count="0" memberValueDatatype="7" unbalanced="0"/>
    <cacheHierarchy uniqueName="[Журнал_выполнение].[Результат]" caption="Результат" attribute="1" defaultMemberUniqueName="[Журнал_выполнение].[Результат].[All]" allUniqueName="[Журнал_выполнение].[Результат].[All]" dimensionUniqueName="[Журнал_выполнение]" displayFolder="" count="0" memberValueDatatype="130" unbalanced="0"/>
    <cacheHierarchy uniqueName="[Перечни_из_цехов].[Заводской_номер]" caption="Заводской_номер" attribute="1" defaultMemberUniqueName="[Перечни_из_цехов].[Заводской_номер].[All]" allUniqueName="[Перечни_из_цехов].[Заводской_номер].[All]" dimensionUniqueName="[Перечни_из_цехов]" displayFolder="" count="0" memberValueDatatype="130" unbalanced="0"/>
    <cacheHierarchy uniqueName="[Перечни_из_цехов].[Название_СИ]" caption="Название_СИ" attribute="1" defaultMemberUniqueName="[Перечни_из_цехов].[Название_СИ].[All]" allUniqueName="[Перечни_из_цехов].[Название_СИ].[All]" dimensionUniqueName="[Перечни_из_цехов]" displayFolder="" count="0" memberValueDatatype="130" unbalanced="0"/>
    <cacheHierarchy uniqueName="[Перечни_из_цехов].[Тип_СИ]" caption="Тип_СИ" attribute="1" defaultMemberUniqueName="[Перечни_из_цехов].[Тип_СИ].[All]" allUniqueName="[Перечни_из_цехов].[Тип_СИ].[All]" dimensionUniqueName="[Перечни_из_цехов]" displayFolder="" count="0" memberValueDatatype="130" unbalanced="0"/>
    <cacheHierarchy uniqueName="[Перечни_из_цехов].[Цех]" caption="Цех" attribute="1" defaultMemberUniqueName="[Перечни_из_цехов].[Цех].[All]" allUniqueName="[Перечни_из_цехов].[Цех].[All]" dimensionUniqueName="[Перечни_из_цехов]" displayFolder="" count="2" memberValueDatatype="130" unbalanced="0">
      <fieldsUsage count="2">
        <fieldUsage x="-1"/>
        <fieldUsage x="0"/>
      </fieldsUsage>
    </cacheHierarchy>
    <cacheHierarchy uniqueName="[Перечни_из_цехов].[Тип_работы]" caption="Тип_работы" attribute="1" defaultMemberUniqueName="[Перечни_из_цехов].[Тип_работы].[All]" allUniqueName="[Перечни_из_цехов].[Тип_работы].[All]" dimensionUniqueName="[Перечни_из_цехов]" displayFolder="" count="0" memberValueDatatype="130" unbalanced="0"/>
    <cacheHierarchy uniqueName="[Перечни_из_цехов].[МПИ_мес]" caption="МПИ_мес" attribute="1" defaultMemberUniqueName="[Перечни_из_цехов].[МПИ_мес].[All]" allUniqueName="[Перечни_из_цехов].[МПИ_мес].[All]" dimensionUniqueName="[Перечни_из_цехов]" displayFolder="" count="0" memberValueDatatype="20" unbalanced="0"/>
    <cacheHierarchy uniqueName="[Перечни_из_цехов].[Дата_последней_поверки]" caption="Дата_последней_поверки" attribute="1" time="1" defaultMemberUniqueName="[Перечни_из_цехов].[Дата_последней_поверки].[All]" allUniqueName="[Перечни_из_цехов].[Дата_последней_поверки].[All]" dimensionUniqueName="[Перечни_из_цехов]" displayFolder="" count="0" memberValueDatatype="7" unbalanced="0"/>
    <cacheHierarchy uniqueName="[Перечни_из_цехов].[Дата_факта]" caption="Дата_факта" attribute="1" time="1" defaultMemberUniqueName="[Перечни_из_цехов].[Дата_факта].[All]" allUniqueName="[Перечни_из_цехов].[Дата_факта].[All]" dimensionUniqueName="[Перечни_из_цехов]" displayFolder="" count="0" memberValueDatatype="7" unbalanced="0"/>
    <cacheHierarchy uniqueName="[Перечни_из_цехов].[Результат]" caption="Результат" attribute="1" defaultMemberUniqueName="[Перечни_из_цехов].[Результат].[All]" allUniqueName="[Перечни_из_цехов].[Результат].[All]" dimensionUniqueName="[Перечни_из_цехов]" displayFolder="" count="0" memberValueDatatype="130" unbalanced="0"/>
    <cacheHierarchy uniqueName="[Перечни_из_цехов].[Цена_часа_простоя_руб]" caption="Цена_часа_простоя_руб" attribute="1" defaultMemberUniqueName="[Перечни_из_цехов].[Цена_часа_простоя_руб].[All]" allUniqueName="[Перечни_из_цехов].[Цена_часа_простоя_руб].[All]" dimensionUniqueName="[Перечни_из_цехов]" displayFolder="" count="0" memberValueDatatype="20" unbalanced="0"/>
    <cacheHierarchy uniqueName="[Перечни_из_цехов].[Время_восстановления_час]" caption="Время_восстановления_час" attribute="1" defaultMemberUniqueName="[Перечни_из_цехов].[Время_восстановления_час].[All]" allUniqueName="[Перечни_из_цехов].[Время_восстановления_час].[All]" dimensionUniqueName="[Перечни_из_цехов]" displayFolder="" count="0" memberValueDatatype="20" unbalanced="0"/>
    <cacheHierarchy uniqueName="[Перечни_из_цехов].[Критичность]" caption="Критичность" attribute="1" defaultMemberUniqueName="[Перечни_из_цехов].[Критичность].[All]" allUniqueName="[Перечни_из_цехов].[Критичность].[All]" dimensionUniqueName="[Перечни_из_цехов]" displayFolder="" count="0" memberValueDatatype="130" unbalanced="0"/>
    <cacheHierarchy uniqueName="[Перечни_из_цехов].[Цена_поверки_руб.]" caption="Цена_поверки_руб." attribute="1" defaultMemberUniqueName="[Перечни_из_цехов].[Цена_поверки_руб.].[All]" allUniqueName="[Перечни_из_цехов].[Цена_поверки_руб.].[All]" dimensionUniqueName="[Перечни_из_цехов]" displayFolder="" count="0" memberValueDatatype="20" unbalanced="0"/>
    <cacheHierarchy uniqueName="[Перечни_из_цехов].[Дата_следующей_поверки]" caption="Дата_следующей_поверки" attribute="1" time="1" defaultMemberUniqueName="[Перечни_из_цехов].[Дата_следующей_поверки].[All]" allUniqueName="[Перечни_из_цехов].[Дата_следующей_поверки].[All]" dimensionUniqueName="[Перечни_из_цехов]" displayFolder="" count="0" memberValueDatatype="7" unbalanced="0"/>
    <cacheHierarchy uniqueName="[Перечни_из_цехов].[Дни_расчетные]" caption="Дни_расчетные" attribute="1" defaultMemberUniqueName="[Перечни_из_цехов].[Дни_расчетные].[All]" allUniqueName="[Перечни_из_цехов].[Дни_расчетные].[All]" dimensionUniqueName="[Перечни_из_цехов]" displayFolder="" count="0" memberValueDatatype="20" unbalanced="0"/>
    <cacheHierarchy uniqueName="[Перечни_из_цехов].[Дни_простоя]" caption="Дни_простоя" attribute="1" defaultMemberUniqueName="[Перечни_из_цехов].[Дни_простоя].[All]" allUniqueName="[Перечни_из_цехов].[Дни_простоя].[All]" dimensionUniqueName="[Перечни_из_цехов]" displayFolder="" count="0" memberValueDatatype="20" unbalanced="0"/>
    <cacheHierarchy uniqueName="[Перечни_из_цехов].[Убыток_руб]" caption="Убыток_руб" attribute="1" defaultMemberUniqueName="[Перечни_из_цехов].[Убыток_руб].[All]" allUniqueName="[Перечни_из_цехов].[Убыток_руб].[All]" dimensionUniqueName="[Перечни_из_цехов]" displayFolder="" count="0" memberValueDatatype="20" unbalanced="0"/>
    <cacheHierarchy uniqueName="[Перечни_из_цехов].[Класс_критичности]" caption="Класс_критичности" attribute="1" defaultMemberUniqueName="[Перечни_из_цехов].[Класс_критичности].[All]" allUniqueName="[Перечни_из_цехов].[Класс_критичности].[All]" dimensionUniqueName="[Перечни_из_цехов]" displayFolder="" count="0" memberValueDatatype="130" unbalanced="0"/>
    <cacheHierarchy uniqueName="[Перечни_из_цехов].[Убыток_при_аварии_руб.]" caption="Убыток_при_аварии_руб." attribute="1" defaultMemberUniqueName="[Перечни_из_цехов].[Убыток_при_аварии_руб.].[All]" allUniqueName="[Перечни_из_цехов].[Убыток_при_аварии_руб.].[All]" dimensionUniqueName="[Перечни_из_цехов]" displayFolder="" count="0" memberValueDatatype="20" unbalanced="0"/>
    <cacheHierarchy uniqueName="[Перечни_из_цехов].[Месяц_Плана]" caption="Месяц_Плана" attribute="1" defaultMemberUniqueName="[Перечни_из_цехов].[Месяц_Плана].[All]" allUniqueName="[Перечни_из_цехов].[Месяц_Плана].[All]" dimensionUniqueName="[Перечни_из_цехов]" displayFolder="" count="0" memberValueDatatype="130" unbalanced="0"/>
    <cacheHierarchy uniqueName="[Перечни_из_цехов].[Месяц_Название]" caption="Месяц_Название" attribute="1" defaultMemberUniqueName="[Перечни_из_цехов].[Месяц_Название].[All]" allUniqueName="[Перечни_из_цехов].[Месяц_Название].[All]" dimensionUniqueName="[Перечни_из_цехов]" displayFolder="" count="2" memberValueDatatype="130" unbalanced="0">
      <fieldsUsage count="2">
        <fieldUsage x="-1"/>
        <fieldUsage x="2"/>
      </fieldsUsage>
    </cacheHierarchy>
    <cacheHierarchy uniqueName="[Перечни_из_цехов].[Месяц_Номер]" caption="Месяц_Номер" attribute="1" defaultMemberUniqueName="[Перечни_из_цехов].[Месяц_Номер].[All]" allUniqueName="[Перечни_из_цехов].[Месяц_Номер].[All]" dimensionUniqueName="[Перечни_из_цехов]" displayFolder="" count="0" memberValueDatatype="20" unbalanced="0"/>
    <cacheHierarchy uniqueName="[Прайс].[Название_СИ]" caption="Название_СИ" attribute="1" defaultMemberUniqueName="[Прайс].[Название_СИ].[All]" allUniqueName="[Прайс].[Название_СИ].[All]" dimensionUniqueName="[Прайс]" displayFolder="" count="0" memberValueDatatype="130" unbalanced="0"/>
    <cacheHierarchy uniqueName="[Прайс].[Тип_СИ]" caption="Тип_СИ" attribute="1" defaultMemberUniqueName="[Прайс].[Тип_СИ].[All]" allUniqueName="[Прайс].[Тип_СИ].[All]" dimensionUniqueName="[Прайс]" displayFolder="" count="0" memberValueDatatype="130" unbalanced="0"/>
    <cacheHierarchy uniqueName="[Прайс].[Цена_поверки_руб.]" caption="Цена_поверки_руб." attribute="1" defaultMemberUniqueName="[Прайс].[Цена_поверки_руб.].[All]" allUniqueName="[Прайс].[Цена_поверки_руб.].[All]" dimensionUniqueName="[Прайс]" displayFolder="" count="0" memberValueDatatype="20" unbalanced="0"/>
    <cacheHierarchy uniqueName="[Стоимость_простоя].[Цех]" caption="Цех" attribute="1" defaultMemberUniqueName="[Стоимость_простоя].[Цех].[All]" allUniqueName="[Стоимость_простоя].[Цех].[All]" dimensionUniqueName="[Стоимость_простоя]" displayFolder="" count="0" memberValueDatatype="130" unbalanced="0"/>
    <cacheHierarchy uniqueName="[Стоимость_простоя].[Цена_часа_простоя_руб]" caption="Цена_часа_простоя_руб" attribute="1" defaultMemberUniqueName="[Стоимость_простоя].[Цена_часа_простоя_руб].[All]" allUniqueName="[Стоимость_простоя].[Цена_часа_простоя_руб].[All]" dimensionUniqueName="[Стоимость_простоя]" displayFolder="" count="0" memberValueDatatype="20" unbalanced="0"/>
    <cacheHierarchy uniqueName="[Стоимость_простоя].[Время_восстановления_час]" caption="Время_восстановления_час" attribute="1" defaultMemberUniqueName="[Стоимость_простоя].[Время_восстановления_час].[All]" allUniqueName="[Стоимость_простоя].[Время_восстановления_час].[All]" dimensionUniqueName="[Стоимость_простоя]" displayFolder="" count="0" memberValueDatatype="20" unbalanced="0"/>
    <cacheHierarchy uniqueName="[Стоимость_простоя].[Критичность]" caption="Критичность" attribute="1" defaultMemberUniqueName="[Стоимость_простоя].[Критичность].[All]" allUniqueName="[Стоимость_простоя].[Критичность].[All]" dimensionUniqueName="[Стоимость_простоя]" displayFolder="" count="0" memberValueDatatype="130" unbalanced="0"/>
    <cacheHierarchy uniqueName="[Measures].[Число элементов в столбце Заводской_номер]" caption="Число элементов в столбце Заводской_номер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Цена_часа_простоя_руб]" caption="Сумма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Цена_часа_простоя_руб]" caption="Среднее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Убыток_руб]" caption="Сумма по столбцу Убыток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Потенциальный_Риск_Цеха]" caption="Потенциальный_Риск_Цеха" measure="1" displayFolder="" measureGroup="Перечни_из_цехов" count="0" oneField="1">
      <fieldsUsage count="1">
        <fieldUsage x="1"/>
      </fieldsUsage>
    </cacheHierarchy>
    <cacheHierarchy uniqueName="[Measures].[Реальный_Убыток_Просрочки]" caption="Реальный_Убыток_Просрочки" measure="1" displayFolder="" measureGroup="Перечни_из_цехов" count="0"/>
    <cacheHierarchy uniqueName="[Measures].[Бюджет_Поверок]" caption="Бюджет_Поверок" measure="1" displayFolder="" measureGroup="Перечни_из_цехов" count="0"/>
    <cacheHierarchy uniqueName="[Measures].[Риск_SLA_Поставок]" caption="Риск_SLA_Поставок" measure="1" displayFolder="" measureGroup="Перечни_из_цехов" count="0"/>
    <cacheHierarchy uniqueName="[Measures].[__XL_Count Прайс]" caption="__XL_Count Прайс" measure="1" displayFolder="" measureGroup="Прайс" count="0" hidden="1"/>
    <cacheHierarchy uniqueName="[Measures].[__XL_Count Стоимость_простоя]" caption="__XL_Count Стоимость_простоя" measure="1" displayFolder="" measureGroup="Стоимость_простоя" count="0" hidden="1"/>
    <cacheHierarchy uniqueName="[Measures].[__XL_Count Перечни_из_цехов]" caption="__XL_Count Перечни_из_цехов" measure="1" displayFolder="" measureGroup="Перечни_из_цехов" count="0" hidden="1"/>
    <cacheHierarchy uniqueName="[Measures].[__XL_Count Журнал_выполнение]" caption="__XL_Count Журнал_выполнение" measure="1" displayFolder="" measureGroup="Журнал_выполнение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5">
    <dimension measure="1" name="Measures" uniqueName="[Measures]" caption="Measures"/>
    <dimension name="Журнал_выполнение" uniqueName="[Журнал_выполнение]" caption="Журнал_выполнение"/>
    <dimension name="Перечни_из_цехов" uniqueName="[Перечни_из_цехов]" caption="Перечни_из_цехов"/>
    <dimension name="Прайс" uniqueName="[Прайс]" caption="Прайс"/>
    <dimension name="Стоимость_простоя" uniqueName="[Стоимость_простоя]" caption="Стоимость_простоя"/>
  </dimensions>
  <measureGroups count="4">
    <measureGroup name="Журнал_выполнение" caption="Журнал_выполнение"/>
    <measureGroup name="Перечни_из_цехов" caption="Перечни_из_цехов"/>
    <measureGroup name="Прайс" caption="Прайс"/>
    <measureGroup name="Стоимость_простоя" caption="Стоимость_простоя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Марина" refreshedDate="46276.687331944442" backgroundQuery="1" createdVersion="6" refreshedVersion="6" minRefreshableVersion="3" recordCount="0" supportSubquery="1" supportAdvancedDrill="1" xr:uid="{900FADAD-DBF9-4A0B-8535-823A7C3216AE}">
  <cacheSource type="external" connectionId="1"/>
  <cacheFields count="4">
    <cacheField name="[Перечни_из_цехов].[Цех].[Цех]" caption="Цех" numFmtId="0" hierarchy="8" level="1">
      <sharedItems count="9">
        <s v="Водоснабжение"/>
        <s v="Газовая котельная"/>
        <s v="Лаборатория"/>
        <s v="МЭЦ (Экстракция)"/>
        <s v="Прессовый цех"/>
        <s v="Служба механиков"/>
        <s v="Фасовка"/>
        <s v="Цех рафинации"/>
        <s v="Элеватор"/>
      </sharedItems>
    </cacheField>
    <cacheField name="[Measures].[Реальный_Убыток_Просрочки]" caption="Реальный_Убыток_Просрочки" numFmtId="0" hierarchy="39" level="32767"/>
    <cacheField name="[Перечни_из_цехов].[Месяц_Плана].[Месяц_Плана]" caption="Месяц_Плана" numFmtId="0" hierarchy="24" level="1">
      <sharedItems containsSemiMixedTypes="0" containsNonDate="0" containsString="0"/>
    </cacheField>
    <cacheField name="[Перечни_из_цехов].[Месяц_Название].[Месяц_Название]" caption="Месяц_Название" numFmtId="0" hierarchy="25" level="1">
      <sharedItems containsSemiMixedTypes="0" containsNonDate="0" containsString="0"/>
    </cacheField>
  </cacheFields>
  <cacheHierarchies count="47">
    <cacheHierarchy uniqueName="[Журнал_выполнение].[Заводской_номер]" caption="Заводской_номер" attribute="1" defaultMemberUniqueName="[Журнал_выполнение].[Заводской_номер].[All]" allUniqueName="[Журнал_выполнение].[Заводской_номер].[All]" dimensionUniqueName="[Журнал_выполнение]" displayFolder="" count="0" memberValueDatatype="130" unbalanced="0"/>
    <cacheHierarchy uniqueName="[Журнал_выполнение].[Название_СИ]" caption="Название_СИ" attribute="1" defaultMemberUniqueName="[Журнал_выполнение].[Название_СИ].[All]" allUniqueName="[Журнал_выполнение].[Название_СИ].[All]" dimensionUniqueName="[Журнал_выполнение]" displayFolder="" count="0" memberValueDatatype="130" unbalanced="0"/>
    <cacheHierarchy uniqueName="[Журнал_выполнение].[Тип_СИ]" caption="Тип_СИ" attribute="1" defaultMemberUniqueName="[Журнал_выполнение].[Тип_СИ].[All]" allUniqueName="[Журнал_выполнение].[Тип_СИ].[All]" dimensionUniqueName="[Журнал_выполнение]" displayFolder="" count="0" memberValueDatatype="130" unbalanced="0"/>
    <cacheHierarchy uniqueName="[Журнал_выполнение].[Дата_факта]" caption="Дата_факта" attribute="1" time="1" defaultMemberUniqueName="[Журнал_выполнение].[Дата_факта].[All]" allUniqueName="[Журнал_выполнение].[Дата_факта].[All]" dimensionUniqueName="[Журнал_выполнение]" displayFolder="" count="0" memberValueDatatype="7" unbalanced="0"/>
    <cacheHierarchy uniqueName="[Журнал_выполнение].[Результат]" caption="Результат" attribute="1" defaultMemberUniqueName="[Журнал_выполнение].[Результат].[All]" allUniqueName="[Журнал_выполнение].[Результат].[All]" dimensionUniqueName="[Журнал_выполнение]" displayFolder="" count="0" memberValueDatatype="130" unbalanced="0"/>
    <cacheHierarchy uniqueName="[Перечни_из_цехов].[Заводской_номер]" caption="Заводской_номер" attribute="1" defaultMemberUniqueName="[Перечни_из_цехов].[Заводской_номер].[All]" allUniqueName="[Перечни_из_цехов].[Заводской_номер].[All]" dimensionUniqueName="[Перечни_из_цехов]" displayFolder="" count="0" memberValueDatatype="130" unbalanced="0"/>
    <cacheHierarchy uniqueName="[Перечни_из_цехов].[Название_СИ]" caption="Название_СИ" attribute="1" defaultMemberUniqueName="[Перечни_из_цехов].[Название_СИ].[All]" allUniqueName="[Перечни_из_цехов].[Название_СИ].[All]" dimensionUniqueName="[Перечни_из_цехов]" displayFolder="" count="0" memberValueDatatype="130" unbalanced="0"/>
    <cacheHierarchy uniqueName="[Перечни_из_цехов].[Тип_СИ]" caption="Тип_СИ" attribute="1" defaultMemberUniqueName="[Перечни_из_цехов].[Тип_СИ].[All]" allUniqueName="[Перечни_из_цехов].[Тип_СИ].[All]" dimensionUniqueName="[Перечни_из_цехов]" displayFolder="" count="0" memberValueDatatype="130" unbalanced="0"/>
    <cacheHierarchy uniqueName="[Перечни_из_цехов].[Цех]" caption="Цех" attribute="1" defaultMemberUniqueName="[Перечни_из_цехов].[Цех].[All]" allUniqueName="[Перечни_из_цехов].[Цех].[All]" dimensionUniqueName="[Перечни_из_цехов]" displayFolder="" count="2" memberValueDatatype="130" unbalanced="0">
      <fieldsUsage count="2">
        <fieldUsage x="-1"/>
        <fieldUsage x="0"/>
      </fieldsUsage>
    </cacheHierarchy>
    <cacheHierarchy uniqueName="[Перечни_из_цехов].[Тип_работы]" caption="Тип_работы" attribute="1" defaultMemberUniqueName="[Перечни_из_цехов].[Тип_работы].[All]" allUniqueName="[Перечни_из_цехов].[Тип_работы].[All]" dimensionUniqueName="[Перечни_из_цехов]" displayFolder="" count="0" memberValueDatatype="130" unbalanced="0"/>
    <cacheHierarchy uniqueName="[Перечни_из_цехов].[МПИ_мес]" caption="МПИ_мес" attribute="1" defaultMemberUniqueName="[Перечни_из_цехов].[МПИ_мес].[All]" allUniqueName="[Перечни_из_цехов].[МПИ_мес].[All]" dimensionUniqueName="[Перечни_из_цехов]" displayFolder="" count="0" memberValueDatatype="20" unbalanced="0"/>
    <cacheHierarchy uniqueName="[Перечни_из_цехов].[Дата_последней_поверки]" caption="Дата_последней_поверки" attribute="1" time="1" defaultMemberUniqueName="[Перечни_из_цехов].[Дата_последней_поверки].[All]" allUniqueName="[Перечни_из_цехов].[Дата_последней_поверки].[All]" dimensionUniqueName="[Перечни_из_цехов]" displayFolder="" count="0" memberValueDatatype="7" unbalanced="0"/>
    <cacheHierarchy uniqueName="[Перечни_из_цехов].[Дата_факта]" caption="Дата_факта" attribute="1" time="1" defaultMemberUniqueName="[Перечни_из_цехов].[Дата_факта].[All]" allUniqueName="[Перечни_из_цехов].[Дата_факта].[All]" dimensionUniqueName="[Перечни_из_цехов]" displayFolder="" count="0" memberValueDatatype="7" unbalanced="0"/>
    <cacheHierarchy uniqueName="[Перечни_из_цехов].[Результат]" caption="Результат" attribute="1" defaultMemberUniqueName="[Перечни_из_цехов].[Результат].[All]" allUniqueName="[Перечни_из_цехов].[Результат].[All]" dimensionUniqueName="[Перечни_из_цехов]" displayFolder="" count="0" memberValueDatatype="130" unbalanced="0"/>
    <cacheHierarchy uniqueName="[Перечни_из_цехов].[Цена_часа_простоя_руб]" caption="Цена_часа_простоя_руб" attribute="1" defaultMemberUniqueName="[Перечни_из_цехов].[Цена_часа_простоя_руб].[All]" allUniqueName="[Перечни_из_цехов].[Цена_часа_простоя_руб].[All]" dimensionUniqueName="[Перечни_из_цехов]" displayFolder="" count="0" memberValueDatatype="20" unbalanced="0"/>
    <cacheHierarchy uniqueName="[Перечни_из_цехов].[Время_восстановления_час]" caption="Время_восстановления_час" attribute="1" defaultMemberUniqueName="[Перечни_из_цехов].[Время_восстановления_час].[All]" allUniqueName="[Перечни_из_цехов].[Время_восстановления_час].[All]" dimensionUniqueName="[Перечни_из_цехов]" displayFolder="" count="0" memberValueDatatype="20" unbalanced="0"/>
    <cacheHierarchy uniqueName="[Перечни_из_цехов].[Критичность]" caption="Критичность" attribute="1" defaultMemberUniqueName="[Перечни_из_цехов].[Критичность].[All]" allUniqueName="[Перечни_из_цехов].[Критичность].[All]" dimensionUniqueName="[Перечни_из_цехов]" displayFolder="" count="0" memberValueDatatype="130" unbalanced="0"/>
    <cacheHierarchy uniqueName="[Перечни_из_цехов].[Цена_поверки_руб.]" caption="Цена_поверки_руб." attribute="1" defaultMemberUniqueName="[Перечни_из_цехов].[Цена_поверки_руб.].[All]" allUniqueName="[Перечни_из_цехов].[Цена_поверки_руб.].[All]" dimensionUniqueName="[Перечни_из_цехов]" displayFolder="" count="0" memberValueDatatype="20" unbalanced="0"/>
    <cacheHierarchy uniqueName="[Перечни_из_цехов].[Дата_следующей_поверки]" caption="Дата_следующей_поверки" attribute="1" time="1" defaultMemberUniqueName="[Перечни_из_цехов].[Дата_следующей_поверки].[All]" allUniqueName="[Перечни_из_цехов].[Дата_следующей_поверки].[All]" dimensionUniqueName="[Перечни_из_цехов]" displayFolder="" count="0" memberValueDatatype="7" unbalanced="0"/>
    <cacheHierarchy uniqueName="[Перечни_из_цехов].[Дни_расчетные]" caption="Дни_расчетные" attribute="1" defaultMemberUniqueName="[Перечни_из_цехов].[Дни_расчетные].[All]" allUniqueName="[Перечни_из_цехов].[Дни_расчетные].[All]" dimensionUniqueName="[Перечни_из_цехов]" displayFolder="" count="0" memberValueDatatype="20" unbalanced="0"/>
    <cacheHierarchy uniqueName="[Перечни_из_цехов].[Дни_простоя]" caption="Дни_простоя" attribute="1" defaultMemberUniqueName="[Перечни_из_цехов].[Дни_простоя].[All]" allUniqueName="[Перечни_из_цехов].[Дни_простоя].[All]" dimensionUniqueName="[Перечни_из_цехов]" displayFolder="" count="0" memberValueDatatype="20" unbalanced="0"/>
    <cacheHierarchy uniqueName="[Перечни_из_цехов].[Убыток_руб]" caption="Убыток_руб" attribute="1" defaultMemberUniqueName="[Перечни_из_цехов].[Убыток_руб].[All]" allUniqueName="[Перечни_из_цехов].[Убыток_руб].[All]" dimensionUniqueName="[Перечни_из_цехов]" displayFolder="" count="0" memberValueDatatype="20" unbalanced="0"/>
    <cacheHierarchy uniqueName="[Перечни_из_цехов].[Класс_критичности]" caption="Класс_критичности" attribute="1" defaultMemberUniqueName="[Перечни_из_цехов].[Класс_критичности].[All]" allUniqueName="[Перечни_из_цехов].[Класс_критичности].[All]" dimensionUniqueName="[Перечни_из_цехов]" displayFolder="" count="0" memberValueDatatype="130" unbalanced="0"/>
    <cacheHierarchy uniqueName="[Перечни_из_цехов].[Убыток_при_аварии_руб.]" caption="Убыток_при_аварии_руб." attribute="1" defaultMemberUniqueName="[Перечни_из_цехов].[Убыток_при_аварии_руб.].[All]" allUniqueName="[Перечни_из_цехов].[Убыток_при_аварии_руб.].[All]" dimensionUniqueName="[Перечни_из_цехов]" displayFolder="" count="0" memberValueDatatype="20" unbalanced="0"/>
    <cacheHierarchy uniqueName="[Перечни_из_цехов].[Месяц_Плана]" caption="Месяц_Плана" attribute="1" defaultMemberUniqueName="[Перечни_из_цехов].[Месяц_Плана].[All]" allUniqueName="[Перечни_из_цехов].[Месяц_Плана].[All]" dimensionUniqueName="[Перечни_из_цехов]" displayFolder="" count="2" memberValueDatatype="130" unbalanced="0">
      <fieldsUsage count="2">
        <fieldUsage x="-1"/>
        <fieldUsage x="2"/>
      </fieldsUsage>
    </cacheHierarchy>
    <cacheHierarchy uniqueName="[Перечни_из_цехов].[Месяц_Название]" caption="Месяц_Название" attribute="1" defaultMemberUniqueName="[Перечни_из_цехов].[Месяц_Название].[All]" allUniqueName="[Перечни_из_цехов].[Месяц_Название].[All]" dimensionUniqueName="[Перечни_из_цехов]" displayFolder="" count="2" memberValueDatatype="130" unbalanced="0">
      <fieldsUsage count="2">
        <fieldUsage x="-1"/>
        <fieldUsage x="3"/>
      </fieldsUsage>
    </cacheHierarchy>
    <cacheHierarchy uniqueName="[Перечни_из_цехов].[Месяц_Номер]" caption="Месяц_Номер" attribute="1" defaultMemberUniqueName="[Перечни_из_цехов].[Месяц_Номер].[All]" allUniqueName="[Перечни_из_цехов].[Месяц_Номер].[All]" dimensionUniqueName="[Перечни_из_цехов]" displayFolder="" count="0" memberValueDatatype="20" unbalanced="0"/>
    <cacheHierarchy uniqueName="[Прайс].[Название_СИ]" caption="Название_СИ" attribute="1" defaultMemberUniqueName="[Прайс].[Название_СИ].[All]" allUniqueName="[Прайс].[Название_СИ].[All]" dimensionUniqueName="[Прайс]" displayFolder="" count="0" memberValueDatatype="130" unbalanced="0"/>
    <cacheHierarchy uniqueName="[Прайс].[Тип_СИ]" caption="Тип_СИ" attribute="1" defaultMemberUniqueName="[Прайс].[Тип_СИ].[All]" allUniqueName="[Прайс].[Тип_СИ].[All]" dimensionUniqueName="[Прайс]" displayFolder="" count="0" memberValueDatatype="130" unbalanced="0"/>
    <cacheHierarchy uniqueName="[Прайс].[Цена_поверки_руб.]" caption="Цена_поверки_руб." attribute="1" defaultMemberUniqueName="[Прайс].[Цена_поверки_руб.].[All]" allUniqueName="[Прайс].[Цена_поверки_руб.].[All]" dimensionUniqueName="[Прайс]" displayFolder="" count="0" memberValueDatatype="20" unbalanced="0"/>
    <cacheHierarchy uniqueName="[Стоимость_простоя].[Цех]" caption="Цех" attribute="1" defaultMemberUniqueName="[Стоимость_простоя].[Цех].[All]" allUniqueName="[Стоимость_простоя].[Цех].[All]" dimensionUniqueName="[Стоимость_простоя]" displayFolder="" count="0" memberValueDatatype="130" unbalanced="0"/>
    <cacheHierarchy uniqueName="[Стоимость_простоя].[Цена_часа_простоя_руб]" caption="Цена_часа_простоя_руб" attribute="1" defaultMemberUniqueName="[Стоимость_простоя].[Цена_часа_простоя_руб].[All]" allUniqueName="[Стоимость_простоя].[Цена_часа_простоя_руб].[All]" dimensionUniqueName="[Стоимость_простоя]" displayFolder="" count="0" memberValueDatatype="20" unbalanced="0"/>
    <cacheHierarchy uniqueName="[Стоимость_простоя].[Время_восстановления_час]" caption="Время_восстановления_час" attribute="1" defaultMemberUniqueName="[Стоимость_простоя].[Время_восстановления_час].[All]" allUniqueName="[Стоимость_простоя].[Время_восстановления_час].[All]" dimensionUniqueName="[Стоимость_простоя]" displayFolder="" count="0" memberValueDatatype="20" unbalanced="0"/>
    <cacheHierarchy uniqueName="[Стоимость_простоя].[Критичность]" caption="Критичность" attribute="1" defaultMemberUniqueName="[Стоимость_простоя].[Критичность].[All]" allUniqueName="[Стоимость_простоя].[Критичность].[All]" dimensionUniqueName="[Стоимость_простоя]" displayFolder="" count="0" memberValueDatatype="130" unbalanced="0"/>
    <cacheHierarchy uniqueName="[Measures].[Число элементов в столбце Заводской_номер]" caption="Число элементов в столбце Заводской_номер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Цена_часа_простоя_руб]" caption="Сумма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Цена_часа_простоя_руб]" caption="Среднее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Убыток_руб]" caption="Сумма по столбцу Убыток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Потенциальный_Риск_Цеха]" caption="Потенциальный_Риск_Цеха" measure="1" displayFolder="" measureGroup="Перечни_из_цехов" count="0"/>
    <cacheHierarchy uniqueName="[Measures].[Реальный_Убыток_Просрочки]" caption="Реальный_Убыток_Просрочки" measure="1" displayFolder="" measureGroup="Перечни_из_цехов" count="0" oneField="1">
      <fieldsUsage count="1">
        <fieldUsage x="1"/>
      </fieldsUsage>
    </cacheHierarchy>
    <cacheHierarchy uniqueName="[Measures].[Бюджет_Поверок]" caption="Бюджет_Поверок" measure="1" displayFolder="" measureGroup="Перечни_из_цехов" count="0"/>
    <cacheHierarchy uniqueName="[Measures].[Риск_SLA_Поставок]" caption="Риск_SLA_Поставок" measure="1" displayFolder="" measureGroup="Перечни_из_цехов" count="0"/>
    <cacheHierarchy uniqueName="[Measures].[__XL_Count Прайс]" caption="__XL_Count Прайс" measure="1" displayFolder="" measureGroup="Прайс" count="0" hidden="1"/>
    <cacheHierarchy uniqueName="[Measures].[__XL_Count Стоимость_простоя]" caption="__XL_Count Стоимость_простоя" measure="1" displayFolder="" measureGroup="Стоимость_простоя" count="0" hidden="1"/>
    <cacheHierarchy uniqueName="[Measures].[__XL_Count Перечни_из_цехов]" caption="__XL_Count Перечни_из_цехов" measure="1" displayFolder="" measureGroup="Перечни_из_цехов" count="0" hidden="1"/>
    <cacheHierarchy uniqueName="[Measures].[__XL_Count Журнал_выполнение]" caption="__XL_Count Журнал_выполнение" measure="1" displayFolder="" measureGroup="Журнал_выполнение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5">
    <dimension measure="1" name="Measures" uniqueName="[Measures]" caption="Measures"/>
    <dimension name="Журнал_выполнение" uniqueName="[Журнал_выполнение]" caption="Журнал_выполнение"/>
    <dimension name="Перечни_из_цехов" uniqueName="[Перечни_из_цехов]" caption="Перечни_из_цехов"/>
    <dimension name="Прайс" uniqueName="[Прайс]" caption="Прайс"/>
    <dimension name="Стоимость_простоя" uniqueName="[Стоимость_простоя]" caption="Стоимость_простоя"/>
  </dimensions>
  <measureGroups count="4">
    <measureGroup name="Журнал_выполнение" caption="Журнал_выполнение"/>
    <measureGroup name="Перечни_из_цехов" caption="Перечни_из_цехов"/>
    <measureGroup name="Прайс" caption="Прайс"/>
    <measureGroup name="Стоимость_простоя" caption="Стоимость_простоя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Марина" refreshedDate="46276.687333101851" backgroundQuery="1" createdVersion="6" refreshedVersion="6" minRefreshableVersion="3" recordCount="0" supportSubquery="1" supportAdvancedDrill="1" xr:uid="{B45F5992-C738-4B4B-826C-4517BA89CF27}">
  <cacheSource type="external" connectionId="1"/>
  <cacheFields count="4">
    <cacheField name="[Перечни_из_цехов].[Цех].[Цех]" caption="Цех" numFmtId="0" hierarchy="8" level="1">
      <sharedItems count="9">
        <s v="Водоснабжение"/>
        <s v="Газовая котельная"/>
        <s v="Лаборатория"/>
        <s v="МЭЦ (Экстракция)"/>
        <s v="Прессовый цех"/>
        <s v="Служба механиков"/>
        <s v="Фасовка"/>
        <s v="Цех рафинации"/>
        <s v="Элеватор"/>
      </sharedItems>
    </cacheField>
    <cacheField name="[Measures].[Число элементов в столбце Заводской_номер]" caption="Число элементов в столбце Заводской_номер" numFmtId="0" hierarchy="34" level="32767"/>
    <cacheField name="[Measures].[Среднее по столбцу Цена_часа_простоя_руб]" caption="Среднее по столбцу Цена_часа_простоя_руб" numFmtId="0" hierarchy="36" level="32767"/>
    <cacheField name="[Перечни_из_цехов].[Месяц_Название].[Месяц_Название]" caption="Месяц_Название" numFmtId="0" hierarchy="25" level="1">
      <sharedItems containsSemiMixedTypes="0" containsNonDate="0" containsString="0"/>
    </cacheField>
  </cacheFields>
  <cacheHierarchies count="47">
    <cacheHierarchy uniqueName="[Журнал_выполнение].[Заводской_номер]" caption="Заводской_номер" attribute="1" defaultMemberUniqueName="[Журнал_выполнение].[Заводской_номер].[All]" allUniqueName="[Журнал_выполнение].[Заводской_номер].[All]" dimensionUniqueName="[Журнал_выполнение]" displayFolder="" count="0" memberValueDatatype="130" unbalanced="0"/>
    <cacheHierarchy uniqueName="[Журнал_выполнение].[Название_СИ]" caption="Название_СИ" attribute="1" defaultMemberUniqueName="[Журнал_выполнение].[Название_СИ].[All]" allUniqueName="[Журнал_выполнение].[Название_СИ].[All]" dimensionUniqueName="[Журнал_выполнение]" displayFolder="" count="0" memberValueDatatype="130" unbalanced="0"/>
    <cacheHierarchy uniqueName="[Журнал_выполнение].[Тип_СИ]" caption="Тип_СИ" attribute="1" defaultMemberUniqueName="[Журнал_выполнение].[Тип_СИ].[All]" allUniqueName="[Журнал_выполнение].[Тип_СИ].[All]" dimensionUniqueName="[Журнал_выполнение]" displayFolder="" count="0" memberValueDatatype="130" unbalanced="0"/>
    <cacheHierarchy uniqueName="[Журнал_выполнение].[Дата_факта]" caption="Дата_факта" attribute="1" time="1" defaultMemberUniqueName="[Журнал_выполнение].[Дата_факта].[All]" allUniqueName="[Журнал_выполнение].[Дата_факта].[All]" dimensionUniqueName="[Журнал_выполнение]" displayFolder="" count="0" memberValueDatatype="7" unbalanced="0"/>
    <cacheHierarchy uniqueName="[Журнал_выполнение].[Результат]" caption="Результат" attribute="1" defaultMemberUniqueName="[Журнал_выполнение].[Результат].[All]" allUniqueName="[Журнал_выполнение].[Результат].[All]" dimensionUniqueName="[Журнал_выполнение]" displayFolder="" count="0" memberValueDatatype="130" unbalanced="0"/>
    <cacheHierarchy uniqueName="[Перечни_из_цехов].[Заводской_номер]" caption="Заводской_номер" attribute="1" defaultMemberUniqueName="[Перечни_из_цехов].[Заводской_номер].[All]" allUniqueName="[Перечни_из_цехов].[Заводской_номер].[All]" dimensionUniqueName="[Перечни_из_цехов]" displayFolder="" count="0" memberValueDatatype="130" unbalanced="0"/>
    <cacheHierarchy uniqueName="[Перечни_из_цехов].[Название_СИ]" caption="Название_СИ" attribute="1" defaultMemberUniqueName="[Перечни_из_цехов].[Название_СИ].[All]" allUniqueName="[Перечни_из_цехов].[Название_СИ].[All]" dimensionUniqueName="[Перечни_из_цехов]" displayFolder="" count="0" memberValueDatatype="130" unbalanced="0"/>
    <cacheHierarchy uniqueName="[Перечни_из_цехов].[Тип_СИ]" caption="Тип_СИ" attribute="1" defaultMemberUniqueName="[Перечни_из_цехов].[Тип_СИ].[All]" allUniqueName="[Перечни_из_цехов].[Тип_СИ].[All]" dimensionUniqueName="[Перечни_из_цехов]" displayFolder="" count="0" memberValueDatatype="130" unbalanced="0"/>
    <cacheHierarchy uniqueName="[Перечни_из_цехов].[Цех]" caption="Цех" attribute="1" defaultMemberUniqueName="[Перечни_из_цехов].[Цех].[All]" allUniqueName="[Перечни_из_цехов].[Цех].[All]" dimensionUniqueName="[Перечни_из_цехов]" displayFolder="" count="2" memberValueDatatype="130" unbalanced="0">
      <fieldsUsage count="2">
        <fieldUsage x="-1"/>
        <fieldUsage x="0"/>
      </fieldsUsage>
    </cacheHierarchy>
    <cacheHierarchy uniqueName="[Перечни_из_цехов].[Тип_работы]" caption="Тип_работы" attribute="1" defaultMemberUniqueName="[Перечни_из_цехов].[Тип_работы].[All]" allUniqueName="[Перечни_из_цехов].[Тип_работы].[All]" dimensionUniqueName="[Перечни_из_цехов]" displayFolder="" count="0" memberValueDatatype="130" unbalanced="0"/>
    <cacheHierarchy uniqueName="[Перечни_из_цехов].[МПИ_мес]" caption="МПИ_мес" attribute="1" defaultMemberUniqueName="[Перечни_из_цехов].[МПИ_мес].[All]" allUniqueName="[Перечни_из_цехов].[МПИ_мес].[All]" dimensionUniqueName="[Перечни_из_цехов]" displayFolder="" count="0" memberValueDatatype="20" unbalanced="0"/>
    <cacheHierarchy uniqueName="[Перечни_из_цехов].[Дата_последней_поверки]" caption="Дата_последней_поверки" attribute="1" time="1" defaultMemberUniqueName="[Перечни_из_цехов].[Дата_последней_поверки].[All]" allUniqueName="[Перечни_из_цехов].[Дата_последней_поверки].[All]" dimensionUniqueName="[Перечни_из_цехов]" displayFolder="" count="0" memberValueDatatype="7" unbalanced="0"/>
    <cacheHierarchy uniqueName="[Перечни_из_цехов].[Дата_факта]" caption="Дата_факта" attribute="1" time="1" defaultMemberUniqueName="[Перечни_из_цехов].[Дата_факта].[All]" allUniqueName="[Перечни_из_цехов].[Дата_факта].[All]" dimensionUniqueName="[Перечни_из_цехов]" displayFolder="" count="0" memberValueDatatype="7" unbalanced="0"/>
    <cacheHierarchy uniqueName="[Перечни_из_цехов].[Результат]" caption="Результат" attribute="1" defaultMemberUniqueName="[Перечни_из_цехов].[Результат].[All]" allUniqueName="[Перечни_из_цехов].[Результат].[All]" dimensionUniqueName="[Перечни_из_цехов]" displayFolder="" count="0" memberValueDatatype="130" unbalanced="0"/>
    <cacheHierarchy uniqueName="[Перечни_из_цехов].[Цена_часа_простоя_руб]" caption="Цена_часа_простоя_руб" attribute="1" defaultMemberUniqueName="[Перечни_из_цехов].[Цена_часа_простоя_руб].[All]" allUniqueName="[Перечни_из_цехов].[Цена_часа_простоя_руб].[All]" dimensionUniqueName="[Перечни_из_цехов]" displayFolder="" count="0" memberValueDatatype="20" unbalanced="0"/>
    <cacheHierarchy uniqueName="[Перечни_из_цехов].[Время_восстановления_час]" caption="Время_восстановления_час" attribute="1" defaultMemberUniqueName="[Перечни_из_цехов].[Время_восстановления_час].[All]" allUniqueName="[Перечни_из_цехов].[Время_восстановления_час].[All]" dimensionUniqueName="[Перечни_из_цехов]" displayFolder="" count="0" memberValueDatatype="20" unbalanced="0"/>
    <cacheHierarchy uniqueName="[Перечни_из_цехов].[Критичность]" caption="Критичность" attribute="1" defaultMemberUniqueName="[Перечни_из_цехов].[Критичность].[All]" allUniqueName="[Перечни_из_цехов].[Критичность].[All]" dimensionUniqueName="[Перечни_из_цехов]" displayFolder="" count="0" memberValueDatatype="130" unbalanced="0"/>
    <cacheHierarchy uniqueName="[Перечни_из_цехов].[Цена_поверки_руб.]" caption="Цена_поверки_руб." attribute="1" defaultMemberUniqueName="[Перечни_из_цехов].[Цена_поверки_руб.].[All]" allUniqueName="[Перечни_из_цехов].[Цена_поверки_руб.].[All]" dimensionUniqueName="[Перечни_из_цехов]" displayFolder="" count="0" memberValueDatatype="20" unbalanced="0"/>
    <cacheHierarchy uniqueName="[Перечни_из_цехов].[Дата_следующей_поверки]" caption="Дата_следующей_поверки" attribute="1" time="1" defaultMemberUniqueName="[Перечни_из_цехов].[Дата_следующей_поверки].[All]" allUniqueName="[Перечни_из_цехов].[Дата_следующей_поверки].[All]" dimensionUniqueName="[Перечни_из_цехов]" displayFolder="" count="0" memberValueDatatype="7" unbalanced="0"/>
    <cacheHierarchy uniqueName="[Перечни_из_цехов].[Дни_расчетные]" caption="Дни_расчетные" attribute="1" defaultMemberUniqueName="[Перечни_из_цехов].[Дни_расчетные].[All]" allUniqueName="[Перечни_из_цехов].[Дни_расчетные].[All]" dimensionUniqueName="[Перечни_из_цехов]" displayFolder="" count="0" memberValueDatatype="20" unbalanced="0"/>
    <cacheHierarchy uniqueName="[Перечни_из_цехов].[Дни_простоя]" caption="Дни_простоя" attribute="1" defaultMemberUniqueName="[Перечни_из_цехов].[Дни_простоя].[All]" allUniqueName="[Перечни_из_цехов].[Дни_простоя].[All]" dimensionUniqueName="[Перечни_из_цехов]" displayFolder="" count="0" memberValueDatatype="20" unbalanced="0"/>
    <cacheHierarchy uniqueName="[Перечни_из_цехов].[Убыток_руб]" caption="Убыток_руб" attribute="1" defaultMemberUniqueName="[Перечни_из_цехов].[Убыток_руб].[All]" allUniqueName="[Перечни_из_цехов].[Убыток_руб].[All]" dimensionUniqueName="[Перечни_из_цехов]" displayFolder="" count="0" memberValueDatatype="20" unbalanced="0"/>
    <cacheHierarchy uniqueName="[Перечни_из_цехов].[Класс_критичности]" caption="Класс_критичности" attribute="1" defaultMemberUniqueName="[Перечни_из_цехов].[Класс_критичности].[All]" allUniqueName="[Перечни_из_цехов].[Класс_критичности].[All]" dimensionUniqueName="[Перечни_из_цехов]" displayFolder="" count="0" memberValueDatatype="130" unbalanced="0"/>
    <cacheHierarchy uniqueName="[Перечни_из_цехов].[Убыток_при_аварии_руб.]" caption="Убыток_при_аварии_руб." attribute="1" defaultMemberUniqueName="[Перечни_из_цехов].[Убыток_при_аварии_руб.].[All]" allUniqueName="[Перечни_из_цехов].[Убыток_при_аварии_руб.].[All]" dimensionUniqueName="[Перечни_из_цехов]" displayFolder="" count="0" memberValueDatatype="20" unbalanced="0"/>
    <cacheHierarchy uniqueName="[Перечни_из_цехов].[Месяц_Плана]" caption="Месяц_Плана" attribute="1" defaultMemberUniqueName="[Перечни_из_цехов].[Месяц_Плана].[All]" allUniqueName="[Перечни_из_цехов].[Месяц_Плана].[All]" dimensionUniqueName="[Перечни_из_цехов]" displayFolder="" count="0" memberValueDatatype="130" unbalanced="0"/>
    <cacheHierarchy uniqueName="[Перечни_из_цехов].[Месяц_Название]" caption="Месяц_Название" attribute="1" defaultMemberUniqueName="[Перечни_из_цехов].[Месяц_Название].[All]" allUniqueName="[Перечни_из_цехов].[Месяц_Название].[All]" dimensionUniqueName="[Перечни_из_цехов]" displayFolder="" count="2" memberValueDatatype="130" unbalanced="0">
      <fieldsUsage count="2">
        <fieldUsage x="-1"/>
        <fieldUsage x="3"/>
      </fieldsUsage>
    </cacheHierarchy>
    <cacheHierarchy uniqueName="[Перечни_из_цехов].[Месяц_Номер]" caption="Месяц_Номер" attribute="1" defaultMemberUniqueName="[Перечни_из_цехов].[Месяц_Номер].[All]" allUniqueName="[Перечни_из_цехов].[Месяц_Номер].[All]" dimensionUniqueName="[Перечни_из_цехов]" displayFolder="" count="0" memberValueDatatype="20" unbalanced="0"/>
    <cacheHierarchy uniqueName="[Прайс].[Название_СИ]" caption="Название_СИ" attribute="1" defaultMemberUniqueName="[Прайс].[Название_СИ].[All]" allUniqueName="[Прайс].[Название_СИ].[All]" dimensionUniqueName="[Прайс]" displayFolder="" count="0" memberValueDatatype="130" unbalanced="0"/>
    <cacheHierarchy uniqueName="[Прайс].[Тип_СИ]" caption="Тип_СИ" attribute="1" defaultMemberUniqueName="[Прайс].[Тип_СИ].[All]" allUniqueName="[Прайс].[Тип_СИ].[All]" dimensionUniqueName="[Прайс]" displayFolder="" count="0" memberValueDatatype="130" unbalanced="0"/>
    <cacheHierarchy uniqueName="[Прайс].[Цена_поверки_руб.]" caption="Цена_поверки_руб." attribute="1" defaultMemberUniqueName="[Прайс].[Цена_поверки_руб.].[All]" allUniqueName="[Прайс].[Цена_поверки_руб.].[All]" dimensionUniqueName="[Прайс]" displayFolder="" count="0" memberValueDatatype="20" unbalanced="0"/>
    <cacheHierarchy uniqueName="[Стоимость_простоя].[Цех]" caption="Цех" attribute="1" defaultMemberUniqueName="[Стоимость_простоя].[Цех].[All]" allUniqueName="[Стоимость_простоя].[Цех].[All]" dimensionUniqueName="[Стоимость_простоя]" displayFolder="" count="0" memberValueDatatype="130" unbalanced="0"/>
    <cacheHierarchy uniqueName="[Стоимость_простоя].[Цена_часа_простоя_руб]" caption="Цена_часа_простоя_руб" attribute="1" defaultMemberUniqueName="[Стоимость_простоя].[Цена_часа_простоя_руб].[All]" allUniqueName="[Стоимость_простоя].[Цена_часа_простоя_руб].[All]" dimensionUniqueName="[Стоимость_простоя]" displayFolder="" count="0" memberValueDatatype="20" unbalanced="0"/>
    <cacheHierarchy uniqueName="[Стоимость_простоя].[Время_восстановления_час]" caption="Время_восстановления_час" attribute="1" defaultMemberUniqueName="[Стоимость_простоя].[Время_восстановления_час].[All]" allUniqueName="[Стоимость_простоя].[Время_восстановления_час].[All]" dimensionUniqueName="[Стоимость_простоя]" displayFolder="" count="0" memberValueDatatype="20" unbalanced="0"/>
    <cacheHierarchy uniqueName="[Стоимость_простоя].[Критичность]" caption="Критичность" attribute="1" defaultMemberUniqueName="[Стоимость_простоя].[Критичность].[All]" allUniqueName="[Стоимость_простоя].[Критичность].[All]" dimensionUniqueName="[Стоимость_простоя]" displayFolder="" count="0" memberValueDatatype="130" unbalanced="0"/>
    <cacheHierarchy uniqueName="[Measures].[Число элементов в столбце Заводской_номер]" caption="Число элементов в столбце Заводской_номер" measure="1" displayFolder="" measureGroup="Перечни_из_цехов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Цена_часа_простоя_руб]" caption="Сумма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Цена_часа_простоя_руб]" caption="Среднее по столбцу Цена_часа_простоя_руб" measure="1" displayFolder="" measureGroup="Перечни_из_цехов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Убыток_руб]" caption="Сумма по столбцу Убыток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Потенциальный_Риск_Цеха]" caption="Потенциальный_Риск_Цеха" measure="1" displayFolder="" measureGroup="Перечни_из_цехов" count="0"/>
    <cacheHierarchy uniqueName="[Measures].[Реальный_Убыток_Просрочки]" caption="Реальный_Убыток_Просрочки" measure="1" displayFolder="" measureGroup="Перечни_из_цехов" count="0"/>
    <cacheHierarchy uniqueName="[Measures].[Бюджет_Поверок]" caption="Бюджет_Поверок" measure="1" displayFolder="" measureGroup="Перечни_из_цехов" count="0"/>
    <cacheHierarchy uniqueName="[Measures].[Риск_SLA_Поставок]" caption="Риск_SLA_Поставок" measure="1" displayFolder="" measureGroup="Перечни_из_цехов" count="0"/>
    <cacheHierarchy uniqueName="[Measures].[__XL_Count Прайс]" caption="__XL_Count Прайс" measure="1" displayFolder="" measureGroup="Прайс" count="0" hidden="1"/>
    <cacheHierarchy uniqueName="[Measures].[__XL_Count Стоимость_простоя]" caption="__XL_Count Стоимость_простоя" measure="1" displayFolder="" measureGroup="Стоимость_простоя" count="0" hidden="1"/>
    <cacheHierarchy uniqueName="[Measures].[__XL_Count Перечни_из_цехов]" caption="__XL_Count Перечни_из_цехов" measure="1" displayFolder="" measureGroup="Перечни_из_цехов" count="0" hidden="1"/>
    <cacheHierarchy uniqueName="[Measures].[__XL_Count Журнал_выполнение]" caption="__XL_Count Журнал_выполнение" measure="1" displayFolder="" measureGroup="Журнал_выполнение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5">
    <dimension measure="1" name="Measures" uniqueName="[Measures]" caption="Measures"/>
    <dimension name="Журнал_выполнение" uniqueName="[Журнал_выполнение]" caption="Журнал_выполнение"/>
    <dimension name="Перечни_из_цехов" uniqueName="[Перечни_из_цехов]" caption="Перечни_из_цехов"/>
    <dimension name="Прайс" uniqueName="[Прайс]" caption="Прайс"/>
    <dimension name="Стоимость_простоя" uniqueName="[Стоимость_простоя]" caption="Стоимость_простоя"/>
  </dimensions>
  <measureGroups count="4">
    <measureGroup name="Журнал_выполнение" caption="Журнал_выполнение"/>
    <measureGroup name="Перечни_из_цехов" caption="Перечни_из_цехов"/>
    <measureGroup name="Прайс" caption="Прайс"/>
    <measureGroup name="Стоимость_простоя" caption="Стоимость_простоя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Марина" refreshedDate="46276.687334374998" backgroundQuery="1" createdVersion="6" refreshedVersion="6" minRefreshableVersion="3" recordCount="0" supportSubquery="1" supportAdvancedDrill="1" xr:uid="{D96CC72D-61F4-4D05-9107-C305FCF77522}">
  <cacheSource type="external" connectionId="1"/>
  <cacheFields count="4">
    <cacheField name="[Measures].[Число элементов в столбце Заводской_номер]" caption="Число элементов в столбце Заводской_номер" numFmtId="0" hierarchy="34" level="32767"/>
    <cacheField name="[Перечни_из_цехов].[Класс_критичности].[Класс_критичности]" caption="Класс_критичности" numFmtId="0" hierarchy="22" level="1">
      <sharedItems count="3">
        <s v="Класс А"/>
        <s v="Класс В"/>
        <s v="Класс С"/>
      </sharedItems>
    </cacheField>
    <cacheField name="[Перечни_из_цехов].[Месяц_Название].[Месяц_Название]" caption="Месяц_Название" numFmtId="0" hierarchy="25" level="1">
      <sharedItems containsSemiMixedTypes="0" containsNonDate="0" containsString="0"/>
    </cacheField>
    <cacheField name="[Перечни_из_цехов].[Цех].[Цех]" caption="Цех" numFmtId="0" hierarchy="8" level="1">
      <sharedItems containsSemiMixedTypes="0" containsNonDate="0" containsString="0"/>
    </cacheField>
  </cacheFields>
  <cacheHierarchies count="47">
    <cacheHierarchy uniqueName="[Журнал_выполнение].[Заводской_номер]" caption="Заводской_номер" attribute="1" defaultMemberUniqueName="[Журнал_выполнение].[Заводской_номер].[All]" allUniqueName="[Журнал_выполнение].[Заводской_номер].[All]" dimensionUniqueName="[Журнал_выполнение]" displayFolder="" count="0" memberValueDatatype="130" unbalanced="0"/>
    <cacheHierarchy uniqueName="[Журнал_выполнение].[Название_СИ]" caption="Название_СИ" attribute="1" defaultMemberUniqueName="[Журнал_выполнение].[Название_СИ].[All]" allUniqueName="[Журнал_выполнение].[Название_СИ].[All]" dimensionUniqueName="[Журнал_выполнение]" displayFolder="" count="0" memberValueDatatype="130" unbalanced="0"/>
    <cacheHierarchy uniqueName="[Журнал_выполнение].[Тип_СИ]" caption="Тип_СИ" attribute="1" defaultMemberUniqueName="[Журнал_выполнение].[Тип_СИ].[All]" allUniqueName="[Журнал_выполнение].[Тип_СИ].[All]" dimensionUniqueName="[Журнал_выполнение]" displayFolder="" count="0" memberValueDatatype="130" unbalanced="0"/>
    <cacheHierarchy uniqueName="[Журнал_выполнение].[Дата_факта]" caption="Дата_факта" attribute="1" time="1" defaultMemberUniqueName="[Журнал_выполнение].[Дата_факта].[All]" allUniqueName="[Журнал_выполнение].[Дата_факта].[All]" dimensionUniqueName="[Журнал_выполнение]" displayFolder="" count="0" memberValueDatatype="7" unbalanced="0"/>
    <cacheHierarchy uniqueName="[Журнал_выполнение].[Результат]" caption="Результат" attribute="1" defaultMemberUniqueName="[Журнал_выполнение].[Результат].[All]" allUniqueName="[Журнал_выполнение].[Результат].[All]" dimensionUniqueName="[Журнал_выполнение]" displayFolder="" count="0" memberValueDatatype="130" unbalanced="0"/>
    <cacheHierarchy uniqueName="[Перечни_из_цехов].[Заводской_номер]" caption="Заводской_номер" attribute="1" defaultMemberUniqueName="[Перечни_из_цехов].[Заводской_номер].[All]" allUniqueName="[Перечни_из_цехов].[Заводской_номер].[All]" dimensionUniqueName="[Перечни_из_цехов]" displayFolder="" count="0" memberValueDatatype="130" unbalanced="0"/>
    <cacheHierarchy uniqueName="[Перечни_из_цехов].[Название_СИ]" caption="Название_СИ" attribute="1" defaultMemberUniqueName="[Перечни_из_цехов].[Название_СИ].[All]" allUniqueName="[Перечни_из_цехов].[Название_СИ].[All]" dimensionUniqueName="[Перечни_из_цехов]" displayFolder="" count="0" memberValueDatatype="130" unbalanced="0"/>
    <cacheHierarchy uniqueName="[Перечни_из_цехов].[Тип_СИ]" caption="Тип_СИ" attribute="1" defaultMemberUniqueName="[Перечни_из_цехов].[Тип_СИ].[All]" allUniqueName="[Перечни_из_цехов].[Тип_СИ].[All]" dimensionUniqueName="[Перечни_из_цехов]" displayFolder="" count="0" memberValueDatatype="130" unbalanced="0"/>
    <cacheHierarchy uniqueName="[Перечни_из_цехов].[Цех]" caption="Цех" attribute="1" defaultMemberUniqueName="[Перечни_из_цехов].[Цех].[All]" allUniqueName="[Перечни_из_цехов].[Цех].[All]" dimensionUniqueName="[Перечни_из_цехов]" displayFolder="" count="2" memberValueDatatype="130" unbalanced="0">
      <fieldsUsage count="2">
        <fieldUsage x="-1"/>
        <fieldUsage x="3"/>
      </fieldsUsage>
    </cacheHierarchy>
    <cacheHierarchy uniqueName="[Перечни_из_цехов].[Тип_работы]" caption="Тип_работы" attribute="1" defaultMemberUniqueName="[Перечни_из_цехов].[Тип_работы].[All]" allUniqueName="[Перечни_из_цехов].[Тип_работы].[All]" dimensionUniqueName="[Перечни_из_цехов]" displayFolder="" count="0" memberValueDatatype="130" unbalanced="0"/>
    <cacheHierarchy uniqueName="[Перечни_из_цехов].[МПИ_мес]" caption="МПИ_мес" attribute="1" defaultMemberUniqueName="[Перечни_из_цехов].[МПИ_мес].[All]" allUniqueName="[Перечни_из_цехов].[МПИ_мес].[All]" dimensionUniqueName="[Перечни_из_цехов]" displayFolder="" count="0" memberValueDatatype="20" unbalanced="0"/>
    <cacheHierarchy uniqueName="[Перечни_из_цехов].[Дата_последней_поверки]" caption="Дата_последней_поверки" attribute="1" time="1" defaultMemberUniqueName="[Перечни_из_цехов].[Дата_последней_поверки].[All]" allUniqueName="[Перечни_из_цехов].[Дата_последней_поверки].[All]" dimensionUniqueName="[Перечни_из_цехов]" displayFolder="" count="0" memberValueDatatype="7" unbalanced="0"/>
    <cacheHierarchy uniqueName="[Перечни_из_цехов].[Дата_факта]" caption="Дата_факта" attribute="1" time="1" defaultMemberUniqueName="[Перечни_из_цехов].[Дата_факта].[All]" allUniqueName="[Перечни_из_цехов].[Дата_факта].[All]" dimensionUniqueName="[Перечни_из_цехов]" displayFolder="" count="0" memberValueDatatype="7" unbalanced="0"/>
    <cacheHierarchy uniqueName="[Перечни_из_цехов].[Результат]" caption="Результат" attribute="1" defaultMemberUniqueName="[Перечни_из_цехов].[Результат].[All]" allUniqueName="[Перечни_из_цехов].[Результат].[All]" dimensionUniqueName="[Перечни_из_цехов]" displayFolder="" count="0" memberValueDatatype="130" unbalanced="0"/>
    <cacheHierarchy uniqueName="[Перечни_из_цехов].[Цена_часа_простоя_руб]" caption="Цена_часа_простоя_руб" attribute="1" defaultMemberUniqueName="[Перечни_из_цехов].[Цена_часа_простоя_руб].[All]" allUniqueName="[Перечни_из_цехов].[Цена_часа_простоя_руб].[All]" dimensionUniqueName="[Перечни_из_цехов]" displayFolder="" count="0" memberValueDatatype="20" unbalanced="0"/>
    <cacheHierarchy uniqueName="[Перечни_из_цехов].[Время_восстановления_час]" caption="Время_восстановления_час" attribute="1" defaultMemberUniqueName="[Перечни_из_цехов].[Время_восстановления_час].[All]" allUniqueName="[Перечни_из_цехов].[Время_восстановления_час].[All]" dimensionUniqueName="[Перечни_из_цехов]" displayFolder="" count="0" memberValueDatatype="20" unbalanced="0"/>
    <cacheHierarchy uniqueName="[Перечни_из_цехов].[Критичность]" caption="Критичность" attribute="1" defaultMemberUniqueName="[Перечни_из_цехов].[Критичность].[All]" allUniqueName="[Перечни_из_цехов].[Критичность].[All]" dimensionUniqueName="[Перечни_из_цехов]" displayFolder="" count="0" memberValueDatatype="130" unbalanced="0"/>
    <cacheHierarchy uniqueName="[Перечни_из_цехов].[Цена_поверки_руб.]" caption="Цена_поверки_руб." attribute="1" defaultMemberUniqueName="[Перечни_из_цехов].[Цена_поверки_руб.].[All]" allUniqueName="[Перечни_из_цехов].[Цена_поверки_руб.].[All]" dimensionUniqueName="[Перечни_из_цехов]" displayFolder="" count="0" memberValueDatatype="20" unbalanced="0"/>
    <cacheHierarchy uniqueName="[Перечни_из_цехов].[Дата_следующей_поверки]" caption="Дата_следующей_поверки" attribute="1" time="1" defaultMemberUniqueName="[Перечни_из_цехов].[Дата_следующей_поверки].[All]" allUniqueName="[Перечни_из_цехов].[Дата_следующей_поверки].[All]" dimensionUniqueName="[Перечни_из_цехов]" displayFolder="" count="0" memberValueDatatype="7" unbalanced="0"/>
    <cacheHierarchy uniqueName="[Перечни_из_цехов].[Дни_расчетные]" caption="Дни_расчетные" attribute="1" defaultMemberUniqueName="[Перечни_из_цехов].[Дни_расчетные].[All]" allUniqueName="[Перечни_из_цехов].[Дни_расчетные].[All]" dimensionUniqueName="[Перечни_из_цехов]" displayFolder="" count="0" memberValueDatatype="20" unbalanced="0"/>
    <cacheHierarchy uniqueName="[Перечни_из_цехов].[Дни_простоя]" caption="Дни_простоя" attribute="1" defaultMemberUniqueName="[Перечни_из_цехов].[Дни_простоя].[All]" allUniqueName="[Перечни_из_цехов].[Дни_простоя].[All]" dimensionUniqueName="[Перечни_из_цехов]" displayFolder="" count="0" memberValueDatatype="20" unbalanced="0"/>
    <cacheHierarchy uniqueName="[Перечни_из_цехов].[Убыток_руб]" caption="Убыток_руб" attribute="1" defaultMemberUniqueName="[Перечни_из_цехов].[Убыток_руб].[All]" allUniqueName="[Перечни_из_цехов].[Убыток_руб].[All]" dimensionUniqueName="[Перечни_из_цехов]" displayFolder="" count="0" memberValueDatatype="20" unbalanced="0"/>
    <cacheHierarchy uniqueName="[Перечни_из_цехов].[Класс_критичности]" caption="Класс_критичности" attribute="1" defaultMemberUniqueName="[Перечни_из_цехов].[Класс_критичности].[All]" allUniqueName="[Перечни_из_цехов].[Класс_критичности].[All]" dimensionUniqueName="[Перечни_из_цехов]" displayFolder="" count="2" memberValueDatatype="130" unbalanced="0">
      <fieldsUsage count="2">
        <fieldUsage x="-1"/>
        <fieldUsage x="1"/>
      </fieldsUsage>
    </cacheHierarchy>
    <cacheHierarchy uniqueName="[Перечни_из_цехов].[Убыток_при_аварии_руб.]" caption="Убыток_при_аварии_руб." attribute="1" defaultMemberUniqueName="[Перечни_из_цехов].[Убыток_при_аварии_руб.].[All]" allUniqueName="[Перечни_из_цехов].[Убыток_при_аварии_руб.].[All]" dimensionUniqueName="[Перечни_из_цехов]" displayFolder="" count="0" memberValueDatatype="20" unbalanced="0"/>
    <cacheHierarchy uniqueName="[Перечни_из_цехов].[Месяц_Плана]" caption="Месяц_Плана" attribute="1" defaultMemberUniqueName="[Перечни_из_цехов].[Месяц_Плана].[All]" allUniqueName="[Перечни_из_цехов].[Месяц_Плана].[All]" dimensionUniqueName="[Перечни_из_цехов]" displayFolder="" count="0" memberValueDatatype="130" unbalanced="0"/>
    <cacheHierarchy uniqueName="[Перечни_из_цехов].[Месяц_Название]" caption="Месяц_Название" attribute="1" defaultMemberUniqueName="[Перечни_из_цехов].[Месяц_Название].[All]" allUniqueName="[Перечни_из_цехов].[Месяц_Название].[All]" dimensionUniqueName="[Перечни_из_цехов]" displayFolder="" count="2" memberValueDatatype="130" unbalanced="0">
      <fieldsUsage count="2">
        <fieldUsage x="-1"/>
        <fieldUsage x="2"/>
      </fieldsUsage>
    </cacheHierarchy>
    <cacheHierarchy uniqueName="[Перечни_из_цехов].[Месяц_Номер]" caption="Месяц_Номер" attribute="1" defaultMemberUniqueName="[Перечни_из_цехов].[Месяц_Номер].[All]" allUniqueName="[Перечни_из_цехов].[Месяц_Номер].[All]" dimensionUniqueName="[Перечни_из_цехов]" displayFolder="" count="0" memberValueDatatype="20" unbalanced="0"/>
    <cacheHierarchy uniqueName="[Прайс].[Название_СИ]" caption="Название_СИ" attribute="1" defaultMemberUniqueName="[Прайс].[Название_СИ].[All]" allUniqueName="[Прайс].[Название_СИ].[All]" dimensionUniqueName="[Прайс]" displayFolder="" count="0" memberValueDatatype="130" unbalanced="0"/>
    <cacheHierarchy uniqueName="[Прайс].[Тип_СИ]" caption="Тип_СИ" attribute="1" defaultMemberUniqueName="[Прайс].[Тип_СИ].[All]" allUniqueName="[Прайс].[Тип_СИ].[All]" dimensionUniqueName="[Прайс]" displayFolder="" count="0" memberValueDatatype="130" unbalanced="0"/>
    <cacheHierarchy uniqueName="[Прайс].[Цена_поверки_руб.]" caption="Цена_поверки_руб." attribute="1" defaultMemberUniqueName="[Прайс].[Цена_поверки_руб.].[All]" allUniqueName="[Прайс].[Цена_поверки_руб.].[All]" dimensionUniqueName="[Прайс]" displayFolder="" count="0" memberValueDatatype="20" unbalanced="0"/>
    <cacheHierarchy uniqueName="[Стоимость_простоя].[Цех]" caption="Цех" attribute="1" defaultMemberUniqueName="[Стоимость_простоя].[Цех].[All]" allUniqueName="[Стоимость_простоя].[Цех].[All]" dimensionUniqueName="[Стоимость_простоя]" displayFolder="" count="0" memberValueDatatype="130" unbalanced="0"/>
    <cacheHierarchy uniqueName="[Стоимость_простоя].[Цена_часа_простоя_руб]" caption="Цена_часа_простоя_руб" attribute="1" defaultMemberUniqueName="[Стоимость_простоя].[Цена_часа_простоя_руб].[All]" allUniqueName="[Стоимость_простоя].[Цена_часа_простоя_руб].[All]" dimensionUniqueName="[Стоимость_простоя]" displayFolder="" count="0" memberValueDatatype="20" unbalanced="0"/>
    <cacheHierarchy uniqueName="[Стоимость_простоя].[Время_восстановления_час]" caption="Время_восстановления_час" attribute="1" defaultMemberUniqueName="[Стоимость_простоя].[Время_восстановления_час].[All]" allUniqueName="[Стоимость_простоя].[Время_восстановления_час].[All]" dimensionUniqueName="[Стоимость_простоя]" displayFolder="" count="0" memberValueDatatype="20" unbalanced="0"/>
    <cacheHierarchy uniqueName="[Стоимость_простоя].[Критичность]" caption="Критичность" attribute="1" defaultMemberUniqueName="[Стоимость_простоя].[Критичность].[All]" allUniqueName="[Стоимость_простоя].[Критичность].[All]" dimensionUniqueName="[Стоимость_простоя]" displayFolder="" count="0" memberValueDatatype="130" unbalanced="0"/>
    <cacheHierarchy uniqueName="[Measures].[Число элементов в столбце Заводской_номер]" caption="Число элементов в столбце Заводской_номер" measure="1" displayFolder="" measureGroup="Перечни_из_цехов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Цена_часа_простоя_руб]" caption="Сумма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Цена_часа_простоя_руб]" caption="Среднее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Убыток_руб]" caption="Сумма по столбцу Убыток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Потенциальный_Риск_Цеха]" caption="Потенциальный_Риск_Цеха" measure="1" displayFolder="" measureGroup="Перечни_из_цехов" count="0"/>
    <cacheHierarchy uniqueName="[Measures].[Реальный_Убыток_Просрочки]" caption="Реальный_Убыток_Просрочки" measure="1" displayFolder="" measureGroup="Перечни_из_цехов" count="0"/>
    <cacheHierarchy uniqueName="[Measures].[Бюджет_Поверок]" caption="Бюджет_Поверок" measure="1" displayFolder="" measureGroup="Перечни_из_цехов" count="0"/>
    <cacheHierarchy uniqueName="[Measures].[Риск_SLA_Поставок]" caption="Риск_SLA_Поставок" measure="1" displayFolder="" measureGroup="Перечни_из_цехов" count="0"/>
    <cacheHierarchy uniqueName="[Measures].[__XL_Count Прайс]" caption="__XL_Count Прайс" measure="1" displayFolder="" measureGroup="Прайс" count="0" hidden="1"/>
    <cacheHierarchy uniqueName="[Measures].[__XL_Count Стоимость_простоя]" caption="__XL_Count Стоимость_простоя" measure="1" displayFolder="" measureGroup="Стоимость_простоя" count="0" hidden="1"/>
    <cacheHierarchy uniqueName="[Measures].[__XL_Count Перечни_из_цехов]" caption="__XL_Count Перечни_из_цехов" measure="1" displayFolder="" measureGroup="Перечни_из_цехов" count="0" hidden="1"/>
    <cacheHierarchy uniqueName="[Measures].[__XL_Count Журнал_выполнение]" caption="__XL_Count Журнал_выполнение" measure="1" displayFolder="" measureGroup="Журнал_выполнение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5">
    <dimension measure="1" name="Measures" uniqueName="[Measures]" caption="Measures"/>
    <dimension name="Журнал_выполнение" uniqueName="[Журнал_выполнение]" caption="Журнал_выполнение"/>
    <dimension name="Перечни_из_цехов" uniqueName="[Перечни_из_цехов]" caption="Перечни_из_цехов"/>
    <dimension name="Прайс" uniqueName="[Прайс]" caption="Прайс"/>
    <dimension name="Стоимость_простоя" uniqueName="[Стоимость_простоя]" caption="Стоимость_простоя"/>
  </dimensions>
  <measureGroups count="4">
    <measureGroup name="Журнал_выполнение" caption="Журнал_выполнение"/>
    <measureGroup name="Перечни_из_цехов" caption="Перечни_из_цехов"/>
    <measureGroup name="Прайс" caption="Прайс"/>
    <measureGroup name="Стоимость_простоя" caption="Стоимость_простоя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Марина" refreshedDate="46276.687335648145" backgroundQuery="1" createdVersion="6" refreshedVersion="6" minRefreshableVersion="3" recordCount="0" supportSubquery="1" supportAdvancedDrill="1" xr:uid="{791AFDA7-90C4-481F-843B-C6720E2D6416}">
  <cacheSource type="external" connectionId="1"/>
  <cacheFields count="4">
    <cacheField name="[Перечни_из_цехов].[Тип_СИ].[Тип_СИ]" caption="Тип_СИ" numFmtId="0" hierarchy="7" level="1">
      <sharedItems count="7">
        <s v="Анализатор"/>
        <s v="Блок"/>
        <s v="Весы"/>
        <s v="Датчик"/>
        <s v="Манометр"/>
        <s v="Расходомер"/>
        <s v="Термометр"/>
      </sharedItems>
    </cacheField>
    <cacheField name="[Measures].[Потенциальный_Риск_Цеха]" caption="Потенциальный_Риск_Цеха" numFmtId="0" hierarchy="38" level="32767"/>
    <cacheField name="[Перечни_из_цехов].[Месяц_Название].[Месяц_Название]" caption="Месяц_Название" numFmtId="0" hierarchy="25" level="1">
      <sharedItems containsSemiMixedTypes="0" containsNonDate="0" containsString="0"/>
    </cacheField>
    <cacheField name="[Перечни_из_цехов].[Цех].[Цех]" caption="Цех" numFmtId="0" hierarchy="8" level="1">
      <sharedItems containsSemiMixedTypes="0" containsNonDate="0" containsString="0"/>
    </cacheField>
  </cacheFields>
  <cacheHierarchies count="47">
    <cacheHierarchy uniqueName="[Журнал_выполнение].[Заводской_номер]" caption="Заводской_номер" attribute="1" defaultMemberUniqueName="[Журнал_выполнение].[Заводской_номер].[All]" allUniqueName="[Журнал_выполнение].[Заводской_номер].[All]" dimensionUniqueName="[Журнал_выполнение]" displayFolder="" count="0" memberValueDatatype="130" unbalanced="0"/>
    <cacheHierarchy uniqueName="[Журнал_выполнение].[Название_СИ]" caption="Название_СИ" attribute="1" defaultMemberUniqueName="[Журнал_выполнение].[Название_СИ].[All]" allUniqueName="[Журнал_выполнение].[Название_СИ].[All]" dimensionUniqueName="[Журнал_выполнение]" displayFolder="" count="0" memberValueDatatype="130" unbalanced="0"/>
    <cacheHierarchy uniqueName="[Журнал_выполнение].[Тип_СИ]" caption="Тип_СИ" attribute="1" defaultMemberUniqueName="[Журнал_выполнение].[Тип_СИ].[All]" allUniqueName="[Журнал_выполнение].[Тип_СИ].[All]" dimensionUniqueName="[Журнал_выполнение]" displayFolder="" count="0" memberValueDatatype="130" unbalanced="0"/>
    <cacheHierarchy uniqueName="[Журнал_выполнение].[Дата_факта]" caption="Дата_факта" attribute="1" time="1" defaultMemberUniqueName="[Журнал_выполнение].[Дата_факта].[All]" allUniqueName="[Журнал_выполнение].[Дата_факта].[All]" dimensionUniqueName="[Журнал_выполнение]" displayFolder="" count="0" memberValueDatatype="7" unbalanced="0"/>
    <cacheHierarchy uniqueName="[Журнал_выполнение].[Результат]" caption="Результат" attribute="1" defaultMemberUniqueName="[Журнал_выполнение].[Результат].[All]" allUniqueName="[Журнал_выполнение].[Результат].[All]" dimensionUniqueName="[Журнал_выполнение]" displayFolder="" count="0" memberValueDatatype="130" unbalanced="0"/>
    <cacheHierarchy uniqueName="[Перечни_из_цехов].[Заводской_номер]" caption="Заводской_номер" attribute="1" defaultMemberUniqueName="[Перечни_из_цехов].[Заводской_номер].[All]" allUniqueName="[Перечни_из_цехов].[Заводской_номер].[All]" dimensionUniqueName="[Перечни_из_цехов]" displayFolder="" count="0" memberValueDatatype="130" unbalanced="0"/>
    <cacheHierarchy uniqueName="[Перечни_из_цехов].[Название_СИ]" caption="Название_СИ" attribute="1" defaultMemberUniqueName="[Перечни_из_цехов].[Название_СИ].[All]" allUniqueName="[Перечни_из_цехов].[Название_СИ].[All]" dimensionUniqueName="[Перечни_из_цехов]" displayFolder="" count="0" memberValueDatatype="130" unbalanced="0"/>
    <cacheHierarchy uniqueName="[Перечни_из_цехов].[Тип_СИ]" caption="Тип_СИ" attribute="1" defaultMemberUniqueName="[Перечни_из_цехов].[Тип_СИ].[All]" allUniqueName="[Перечни_из_цехов].[Тип_СИ].[All]" dimensionUniqueName="[Перечни_из_цехов]" displayFolder="" count="2" memberValueDatatype="130" unbalanced="0">
      <fieldsUsage count="2">
        <fieldUsage x="-1"/>
        <fieldUsage x="0"/>
      </fieldsUsage>
    </cacheHierarchy>
    <cacheHierarchy uniqueName="[Перечни_из_цехов].[Цех]" caption="Цех" attribute="1" defaultMemberUniqueName="[Перечни_из_цехов].[Цех].[All]" allUniqueName="[Перечни_из_цехов].[Цех].[All]" dimensionUniqueName="[Перечни_из_цехов]" displayFolder="" count="2" memberValueDatatype="130" unbalanced="0">
      <fieldsUsage count="2">
        <fieldUsage x="-1"/>
        <fieldUsage x="3"/>
      </fieldsUsage>
    </cacheHierarchy>
    <cacheHierarchy uniqueName="[Перечни_из_цехов].[Тип_работы]" caption="Тип_работы" attribute="1" defaultMemberUniqueName="[Перечни_из_цехов].[Тип_работы].[All]" allUniqueName="[Перечни_из_цехов].[Тип_работы].[All]" dimensionUniqueName="[Перечни_из_цехов]" displayFolder="" count="0" memberValueDatatype="130" unbalanced="0"/>
    <cacheHierarchy uniqueName="[Перечни_из_цехов].[МПИ_мес]" caption="МПИ_мес" attribute="1" defaultMemberUniqueName="[Перечни_из_цехов].[МПИ_мес].[All]" allUniqueName="[Перечни_из_цехов].[МПИ_мес].[All]" dimensionUniqueName="[Перечни_из_цехов]" displayFolder="" count="0" memberValueDatatype="20" unbalanced="0"/>
    <cacheHierarchy uniqueName="[Перечни_из_цехов].[Дата_последней_поверки]" caption="Дата_последней_поверки" attribute="1" time="1" defaultMemberUniqueName="[Перечни_из_цехов].[Дата_последней_поверки].[All]" allUniqueName="[Перечни_из_цехов].[Дата_последней_поверки].[All]" dimensionUniqueName="[Перечни_из_цехов]" displayFolder="" count="0" memberValueDatatype="7" unbalanced="0"/>
    <cacheHierarchy uniqueName="[Перечни_из_цехов].[Дата_факта]" caption="Дата_факта" attribute="1" time="1" defaultMemberUniqueName="[Перечни_из_цехов].[Дата_факта].[All]" allUniqueName="[Перечни_из_цехов].[Дата_факта].[All]" dimensionUniqueName="[Перечни_из_цехов]" displayFolder="" count="0" memberValueDatatype="7" unbalanced="0"/>
    <cacheHierarchy uniqueName="[Перечни_из_цехов].[Результат]" caption="Результат" attribute="1" defaultMemberUniqueName="[Перечни_из_цехов].[Результат].[All]" allUniqueName="[Перечни_из_цехов].[Результат].[All]" dimensionUniqueName="[Перечни_из_цехов]" displayFolder="" count="0" memberValueDatatype="130" unbalanced="0"/>
    <cacheHierarchy uniqueName="[Перечни_из_цехов].[Цена_часа_простоя_руб]" caption="Цена_часа_простоя_руб" attribute="1" defaultMemberUniqueName="[Перечни_из_цехов].[Цена_часа_простоя_руб].[All]" allUniqueName="[Перечни_из_цехов].[Цена_часа_простоя_руб].[All]" dimensionUniqueName="[Перечни_из_цехов]" displayFolder="" count="0" memberValueDatatype="20" unbalanced="0"/>
    <cacheHierarchy uniqueName="[Перечни_из_цехов].[Время_восстановления_час]" caption="Время_восстановления_час" attribute="1" defaultMemberUniqueName="[Перечни_из_цехов].[Время_восстановления_час].[All]" allUniqueName="[Перечни_из_цехов].[Время_восстановления_час].[All]" dimensionUniqueName="[Перечни_из_цехов]" displayFolder="" count="0" memberValueDatatype="20" unbalanced="0"/>
    <cacheHierarchy uniqueName="[Перечни_из_цехов].[Критичность]" caption="Критичность" attribute="1" defaultMemberUniqueName="[Перечни_из_цехов].[Критичность].[All]" allUniqueName="[Перечни_из_цехов].[Критичность].[All]" dimensionUniqueName="[Перечни_из_цехов]" displayFolder="" count="0" memberValueDatatype="130" unbalanced="0"/>
    <cacheHierarchy uniqueName="[Перечни_из_цехов].[Цена_поверки_руб.]" caption="Цена_поверки_руб." attribute="1" defaultMemberUniqueName="[Перечни_из_цехов].[Цена_поверки_руб.].[All]" allUniqueName="[Перечни_из_цехов].[Цена_поверки_руб.].[All]" dimensionUniqueName="[Перечни_из_цехов]" displayFolder="" count="0" memberValueDatatype="20" unbalanced="0"/>
    <cacheHierarchy uniqueName="[Перечни_из_цехов].[Дата_следующей_поверки]" caption="Дата_следующей_поверки" attribute="1" time="1" defaultMemberUniqueName="[Перечни_из_цехов].[Дата_следующей_поверки].[All]" allUniqueName="[Перечни_из_цехов].[Дата_следующей_поверки].[All]" dimensionUniqueName="[Перечни_из_цехов]" displayFolder="" count="0" memberValueDatatype="7" unbalanced="0"/>
    <cacheHierarchy uniqueName="[Перечни_из_цехов].[Дни_расчетные]" caption="Дни_расчетные" attribute="1" defaultMemberUniqueName="[Перечни_из_цехов].[Дни_расчетные].[All]" allUniqueName="[Перечни_из_цехов].[Дни_расчетные].[All]" dimensionUniqueName="[Перечни_из_цехов]" displayFolder="" count="0" memberValueDatatype="20" unbalanced="0"/>
    <cacheHierarchy uniqueName="[Перечни_из_цехов].[Дни_простоя]" caption="Дни_простоя" attribute="1" defaultMemberUniqueName="[Перечни_из_цехов].[Дни_простоя].[All]" allUniqueName="[Перечни_из_цехов].[Дни_простоя].[All]" dimensionUniqueName="[Перечни_из_цехов]" displayFolder="" count="0" memberValueDatatype="20" unbalanced="0"/>
    <cacheHierarchy uniqueName="[Перечни_из_цехов].[Убыток_руб]" caption="Убыток_руб" attribute="1" defaultMemberUniqueName="[Перечни_из_цехов].[Убыток_руб].[All]" allUniqueName="[Перечни_из_цехов].[Убыток_руб].[All]" dimensionUniqueName="[Перечни_из_цехов]" displayFolder="" count="0" memberValueDatatype="20" unbalanced="0"/>
    <cacheHierarchy uniqueName="[Перечни_из_цехов].[Класс_критичности]" caption="Класс_критичности" attribute="1" defaultMemberUniqueName="[Перечни_из_цехов].[Класс_критичности].[All]" allUniqueName="[Перечни_из_цехов].[Класс_критичности].[All]" dimensionUniqueName="[Перечни_из_цехов]" displayFolder="" count="0" memberValueDatatype="130" unbalanced="0"/>
    <cacheHierarchy uniqueName="[Перечни_из_цехов].[Убыток_при_аварии_руб.]" caption="Убыток_при_аварии_руб." attribute="1" defaultMemberUniqueName="[Перечни_из_цехов].[Убыток_при_аварии_руб.].[All]" allUniqueName="[Перечни_из_цехов].[Убыток_при_аварии_руб.].[All]" dimensionUniqueName="[Перечни_из_цехов]" displayFolder="" count="0" memberValueDatatype="20" unbalanced="0"/>
    <cacheHierarchy uniqueName="[Перечни_из_цехов].[Месяц_Плана]" caption="Месяц_Плана" attribute="1" defaultMemberUniqueName="[Перечни_из_цехов].[Месяц_Плана].[All]" allUniqueName="[Перечни_из_цехов].[Месяц_Плана].[All]" dimensionUniqueName="[Перечни_из_цехов]" displayFolder="" count="0" memberValueDatatype="130" unbalanced="0"/>
    <cacheHierarchy uniqueName="[Перечни_из_цехов].[Месяц_Название]" caption="Месяц_Название" attribute="1" defaultMemberUniqueName="[Перечни_из_цехов].[Месяц_Название].[All]" allUniqueName="[Перечни_из_цехов].[Месяц_Название].[All]" dimensionUniqueName="[Перечни_из_цехов]" displayFolder="" count="2" memberValueDatatype="130" unbalanced="0">
      <fieldsUsage count="2">
        <fieldUsage x="-1"/>
        <fieldUsage x="2"/>
      </fieldsUsage>
    </cacheHierarchy>
    <cacheHierarchy uniqueName="[Перечни_из_цехов].[Месяц_Номер]" caption="Месяц_Номер" attribute="1" defaultMemberUniqueName="[Перечни_из_цехов].[Месяц_Номер].[All]" allUniqueName="[Перечни_из_цехов].[Месяц_Номер].[All]" dimensionUniqueName="[Перечни_из_цехов]" displayFolder="" count="0" memberValueDatatype="20" unbalanced="0"/>
    <cacheHierarchy uniqueName="[Прайс].[Название_СИ]" caption="Название_СИ" attribute="1" defaultMemberUniqueName="[Прайс].[Название_СИ].[All]" allUniqueName="[Прайс].[Название_СИ].[All]" dimensionUniqueName="[Прайс]" displayFolder="" count="0" memberValueDatatype="130" unbalanced="0"/>
    <cacheHierarchy uniqueName="[Прайс].[Тип_СИ]" caption="Тип_СИ" attribute="1" defaultMemberUniqueName="[Прайс].[Тип_СИ].[All]" allUniqueName="[Прайс].[Тип_СИ].[All]" dimensionUniqueName="[Прайс]" displayFolder="" count="0" memberValueDatatype="130" unbalanced="0"/>
    <cacheHierarchy uniqueName="[Прайс].[Цена_поверки_руб.]" caption="Цена_поверки_руб." attribute="1" defaultMemberUniqueName="[Прайс].[Цена_поверки_руб.].[All]" allUniqueName="[Прайс].[Цена_поверки_руб.].[All]" dimensionUniqueName="[Прайс]" displayFolder="" count="0" memberValueDatatype="20" unbalanced="0"/>
    <cacheHierarchy uniqueName="[Стоимость_простоя].[Цех]" caption="Цех" attribute="1" defaultMemberUniqueName="[Стоимость_простоя].[Цех].[All]" allUniqueName="[Стоимость_простоя].[Цех].[All]" dimensionUniqueName="[Стоимость_простоя]" displayFolder="" count="0" memberValueDatatype="130" unbalanced="0"/>
    <cacheHierarchy uniqueName="[Стоимость_простоя].[Цена_часа_простоя_руб]" caption="Цена_часа_простоя_руб" attribute="1" defaultMemberUniqueName="[Стоимость_простоя].[Цена_часа_простоя_руб].[All]" allUniqueName="[Стоимость_простоя].[Цена_часа_простоя_руб].[All]" dimensionUniqueName="[Стоимость_простоя]" displayFolder="" count="0" memberValueDatatype="20" unbalanced="0"/>
    <cacheHierarchy uniqueName="[Стоимость_простоя].[Время_восстановления_час]" caption="Время_восстановления_час" attribute="1" defaultMemberUniqueName="[Стоимость_простоя].[Время_восстановления_час].[All]" allUniqueName="[Стоимость_простоя].[Время_восстановления_час].[All]" dimensionUniqueName="[Стоимость_простоя]" displayFolder="" count="0" memberValueDatatype="20" unbalanced="0"/>
    <cacheHierarchy uniqueName="[Стоимость_простоя].[Критичность]" caption="Критичность" attribute="1" defaultMemberUniqueName="[Стоимость_простоя].[Критичность].[All]" allUniqueName="[Стоимость_простоя].[Критичность].[All]" dimensionUniqueName="[Стоимость_простоя]" displayFolder="" count="0" memberValueDatatype="130" unbalanced="0"/>
    <cacheHierarchy uniqueName="[Measures].[Число элементов в столбце Заводской_номер]" caption="Число элементов в столбце Заводской_номер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Цена_часа_простоя_руб]" caption="Сумма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Цена_часа_простоя_руб]" caption="Среднее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Убыток_руб]" caption="Сумма по столбцу Убыток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Потенциальный_Риск_Цеха]" caption="Потенциальный_Риск_Цеха" measure="1" displayFolder="" measureGroup="Перечни_из_цехов" count="0" oneField="1">
      <fieldsUsage count="1">
        <fieldUsage x="1"/>
      </fieldsUsage>
    </cacheHierarchy>
    <cacheHierarchy uniqueName="[Measures].[Реальный_Убыток_Просрочки]" caption="Реальный_Убыток_Просрочки" measure="1" displayFolder="" measureGroup="Перечни_из_цехов" count="0"/>
    <cacheHierarchy uniqueName="[Measures].[Бюджет_Поверок]" caption="Бюджет_Поверок" measure="1" displayFolder="" measureGroup="Перечни_из_цехов" count="0"/>
    <cacheHierarchy uniqueName="[Measures].[Риск_SLA_Поставок]" caption="Риск_SLA_Поставок" measure="1" displayFolder="" measureGroup="Перечни_из_цехов" count="0"/>
    <cacheHierarchy uniqueName="[Measures].[__XL_Count Прайс]" caption="__XL_Count Прайс" measure="1" displayFolder="" measureGroup="Прайс" count="0" hidden="1"/>
    <cacheHierarchy uniqueName="[Measures].[__XL_Count Стоимость_простоя]" caption="__XL_Count Стоимость_простоя" measure="1" displayFolder="" measureGroup="Стоимость_простоя" count="0" hidden="1"/>
    <cacheHierarchy uniqueName="[Measures].[__XL_Count Перечни_из_цехов]" caption="__XL_Count Перечни_из_цехов" measure="1" displayFolder="" measureGroup="Перечни_из_цехов" count="0" hidden="1"/>
    <cacheHierarchy uniqueName="[Measures].[__XL_Count Журнал_выполнение]" caption="__XL_Count Журнал_выполнение" measure="1" displayFolder="" measureGroup="Журнал_выполнение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5">
    <dimension measure="1" name="Measures" uniqueName="[Measures]" caption="Measures"/>
    <dimension name="Журнал_выполнение" uniqueName="[Журнал_выполнение]" caption="Журнал_выполнение"/>
    <dimension name="Перечни_из_цехов" uniqueName="[Перечни_из_цехов]" caption="Перечни_из_цехов"/>
    <dimension name="Прайс" uniqueName="[Прайс]" caption="Прайс"/>
    <dimension name="Стоимость_простоя" uniqueName="[Стоимость_простоя]" caption="Стоимость_простоя"/>
  </dimensions>
  <measureGroups count="4">
    <measureGroup name="Журнал_выполнение" caption="Журнал_выполнение"/>
    <measureGroup name="Перечни_из_цехов" caption="Перечни_из_цехов"/>
    <measureGroup name="Прайс" caption="Прайс"/>
    <measureGroup name="Стоимость_простоя" caption="Стоимость_простоя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Марина" refreshedDate="46276.68733645833" backgroundQuery="1" createdVersion="6" refreshedVersion="6" minRefreshableVersion="3" recordCount="0" supportSubquery="1" supportAdvancedDrill="1" xr:uid="{32931820-641F-4476-8581-5EB385FC6482}">
  <cacheSource type="external" connectionId="1"/>
  <cacheFields count="3">
    <cacheField name="[Measures].[Риск_SLA_Поставок]" caption="Риск_SLA_Поставок" numFmtId="0" hierarchy="41" level="32767"/>
    <cacheField name="[Перечни_из_цехов].[Месяц_Название].[Месяц_Название]" caption="Месяц_Название" numFmtId="0" hierarchy="25" level="1">
      <sharedItems containsSemiMixedTypes="0" containsNonDate="0" containsString="0"/>
    </cacheField>
    <cacheField name="[Перечни_из_цехов].[Цех].[Цех]" caption="Цех" numFmtId="0" hierarchy="8" level="1">
      <sharedItems containsSemiMixedTypes="0" containsNonDate="0" containsString="0"/>
    </cacheField>
  </cacheFields>
  <cacheHierarchies count="47">
    <cacheHierarchy uniqueName="[Журнал_выполнение].[Заводской_номер]" caption="Заводской_номер" attribute="1" defaultMemberUniqueName="[Журнал_выполнение].[Заводской_номер].[All]" allUniqueName="[Журнал_выполнение].[Заводской_номер].[All]" dimensionUniqueName="[Журнал_выполнение]" displayFolder="" count="0" memberValueDatatype="130" unbalanced="0"/>
    <cacheHierarchy uniqueName="[Журнал_выполнение].[Название_СИ]" caption="Название_СИ" attribute="1" defaultMemberUniqueName="[Журнал_выполнение].[Название_СИ].[All]" allUniqueName="[Журнал_выполнение].[Название_СИ].[All]" dimensionUniqueName="[Журнал_выполнение]" displayFolder="" count="0" memberValueDatatype="130" unbalanced="0"/>
    <cacheHierarchy uniqueName="[Журнал_выполнение].[Тип_СИ]" caption="Тип_СИ" attribute="1" defaultMemberUniqueName="[Журнал_выполнение].[Тип_СИ].[All]" allUniqueName="[Журнал_выполнение].[Тип_СИ].[All]" dimensionUniqueName="[Журнал_выполнение]" displayFolder="" count="0" memberValueDatatype="130" unbalanced="0"/>
    <cacheHierarchy uniqueName="[Журнал_выполнение].[Дата_факта]" caption="Дата_факта" attribute="1" time="1" defaultMemberUniqueName="[Журнал_выполнение].[Дата_факта].[All]" allUniqueName="[Журнал_выполнение].[Дата_факта].[All]" dimensionUniqueName="[Журнал_выполнение]" displayFolder="" count="0" memberValueDatatype="7" unbalanced="0"/>
    <cacheHierarchy uniqueName="[Журнал_выполнение].[Результат]" caption="Результат" attribute="1" defaultMemberUniqueName="[Журнал_выполнение].[Результат].[All]" allUniqueName="[Журнал_выполнение].[Результат].[All]" dimensionUniqueName="[Журнал_выполнение]" displayFolder="" count="0" memberValueDatatype="130" unbalanced="0"/>
    <cacheHierarchy uniqueName="[Перечни_из_цехов].[Заводской_номер]" caption="Заводской_номер" attribute="1" defaultMemberUniqueName="[Перечни_из_цехов].[Заводской_номер].[All]" allUniqueName="[Перечни_из_цехов].[Заводской_номер].[All]" dimensionUniqueName="[Перечни_из_цехов]" displayFolder="" count="0" memberValueDatatype="130" unbalanced="0"/>
    <cacheHierarchy uniqueName="[Перечни_из_цехов].[Название_СИ]" caption="Название_СИ" attribute="1" defaultMemberUniqueName="[Перечни_из_цехов].[Название_СИ].[All]" allUniqueName="[Перечни_из_цехов].[Название_СИ].[All]" dimensionUniqueName="[Перечни_из_цехов]" displayFolder="" count="0" memberValueDatatype="130" unbalanced="0"/>
    <cacheHierarchy uniqueName="[Перечни_из_цехов].[Тип_СИ]" caption="Тип_СИ" attribute="1" defaultMemberUniqueName="[Перечни_из_цехов].[Тип_СИ].[All]" allUniqueName="[Перечни_из_цехов].[Тип_СИ].[All]" dimensionUniqueName="[Перечни_из_цехов]" displayFolder="" count="0" memberValueDatatype="130" unbalanced="0"/>
    <cacheHierarchy uniqueName="[Перечни_из_цехов].[Цех]" caption="Цех" attribute="1" defaultMemberUniqueName="[Перечни_из_цехов].[Цех].[All]" allUniqueName="[Перечни_из_цехов].[Цех].[All]" dimensionUniqueName="[Перечни_из_цехов]" displayFolder="" count="2" memberValueDatatype="130" unbalanced="0">
      <fieldsUsage count="2">
        <fieldUsage x="-1"/>
        <fieldUsage x="2"/>
      </fieldsUsage>
    </cacheHierarchy>
    <cacheHierarchy uniqueName="[Перечни_из_цехов].[Тип_работы]" caption="Тип_работы" attribute="1" defaultMemberUniqueName="[Перечни_из_цехов].[Тип_работы].[All]" allUniqueName="[Перечни_из_цехов].[Тип_работы].[All]" dimensionUniqueName="[Перечни_из_цехов]" displayFolder="" count="0" memberValueDatatype="130" unbalanced="0"/>
    <cacheHierarchy uniqueName="[Перечни_из_цехов].[МПИ_мес]" caption="МПИ_мес" attribute="1" defaultMemberUniqueName="[Перечни_из_цехов].[МПИ_мес].[All]" allUniqueName="[Перечни_из_цехов].[МПИ_мес].[All]" dimensionUniqueName="[Перечни_из_цехов]" displayFolder="" count="0" memberValueDatatype="20" unbalanced="0"/>
    <cacheHierarchy uniqueName="[Перечни_из_цехов].[Дата_последней_поверки]" caption="Дата_последней_поверки" attribute="1" time="1" defaultMemberUniqueName="[Перечни_из_цехов].[Дата_последней_поверки].[All]" allUniqueName="[Перечни_из_цехов].[Дата_последней_поверки].[All]" dimensionUniqueName="[Перечни_из_цехов]" displayFolder="" count="0" memberValueDatatype="7" unbalanced="0"/>
    <cacheHierarchy uniqueName="[Перечни_из_цехов].[Дата_факта]" caption="Дата_факта" attribute="1" time="1" defaultMemberUniqueName="[Перечни_из_цехов].[Дата_факта].[All]" allUniqueName="[Перечни_из_цехов].[Дата_факта].[All]" dimensionUniqueName="[Перечни_из_цехов]" displayFolder="" count="0" memberValueDatatype="7" unbalanced="0"/>
    <cacheHierarchy uniqueName="[Перечни_из_цехов].[Результат]" caption="Результат" attribute="1" defaultMemberUniqueName="[Перечни_из_цехов].[Результат].[All]" allUniqueName="[Перечни_из_цехов].[Результат].[All]" dimensionUniqueName="[Перечни_из_цехов]" displayFolder="" count="0" memberValueDatatype="130" unbalanced="0"/>
    <cacheHierarchy uniqueName="[Перечни_из_цехов].[Цена_часа_простоя_руб]" caption="Цена_часа_простоя_руб" attribute="1" defaultMemberUniqueName="[Перечни_из_цехов].[Цена_часа_простоя_руб].[All]" allUniqueName="[Перечни_из_цехов].[Цена_часа_простоя_руб].[All]" dimensionUniqueName="[Перечни_из_цехов]" displayFolder="" count="0" memberValueDatatype="20" unbalanced="0"/>
    <cacheHierarchy uniqueName="[Перечни_из_цехов].[Время_восстановления_час]" caption="Время_восстановления_час" attribute="1" defaultMemberUniqueName="[Перечни_из_цехов].[Время_восстановления_час].[All]" allUniqueName="[Перечни_из_цехов].[Время_восстановления_час].[All]" dimensionUniqueName="[Перечни_из_цехов]" displayFolder="" count="0" memberValueDatatype="20" unbalanced="0"/>
    <cacheHierarchy uniqueName="[Перечни_из_цехов].[Критичность]" caption="Критичность" attribute="1" defaultMemberUniqueName="[Перечни_из_цехов].[Критичность].[All]" allUniqueName="[Перечни_из_цехов].[Критичность].[All]" dimensionUniqueName="[Перечни_из_цехов]" displayFolder="" count="0" memberValueDatatype="130" unbalanced="0"/>
    <cacheHierarchy uniqueName="[Перечни_из_цехов].[Цена_поверки_руб.]" caption="Цена_поверки_руб." attribute="1" defaultMemberUniqueName="[Перечни_из_цехов].[Цена_поверки_руб.].[All]" allUniqueName="[Перечни_из_цехов].[Цена_поверки_руб.].[All]" dimensionUniqueName="[Перечни_из_цехов]" displayFolder="" count="0" memberValueDatatype="20" unbalanced="0"/>
    <cacheHierarchy uniqueName="[Перечни_из_цехов].[Дата_следующей_поверки]" caption="Дата_следующей_поверки" attribute="1" time="1" defaultMemberUniqueName="[Перечни_из_цехов].[Дата_следующей_поверки].[All]" allUniqueName="[Перечни_из_цехов].[Дата_следующей_поверки].[All]" dimensionUniqueName="[Перечни_из_цехов]" displayFolder="" count="0" memberValueDatatype="7" unbalanced="0"/>
    <cacheHierarchy uniqueName="[Перечни_из_цехов].[Дни_расчетные]" caption="Дни_расчетные" attribute="1" defaultMemberUniqueName="[Перечни_из_цехов].[Дни_расчетные].[All]" allUniqueName="[Перечни_из_цехов].[Дни_расчетные].[All]" dimensionUniqueName="[Перечни_из_цехов]" displayFolder="" count="0" memberValueDatatype="20" unbalanced="0"/>
    <cacheHierarchy uniqueName="[Перечни_из_цехов].[Дни_простоя]" caption="Дни_простоя" attribute="1" defaultMemberUniqueName="[Перечни_из_цехов].[Дни_простоя].[All]" allUniqueName="[Перечни_из_цехов].[Дни_простоя].[All]" dimensionUniqueName="[Перечни_из_цехов]" displayFolder="" count="0" memberValueDatatype="20" unbalanced="0"/>
    <cacheHierarchy uniqueName="[Перечни_из_цехов].[Убыток_руб]" caption="Убыток_руб" attribute="1" defaultMemberUniqueName="[Перечни_из_цехов].[Убыток_руб].[All]" allUniqueName="[Перечни_из_цехов].[Убыток_руб].[All]" dimensionUniqueName="[Перечни_из_цехов]" displayFolder="" count="0" memberValueDatatype="20" unbalanced="0"/>
    <cacheHierarchy uniqueName="[Перечни_из_цехов].[Класс_критичности]" caption="Класс_критичности" attribute="1" defaultMemberUniqueName="[Перечни_из_цехов].[Класс_критичности].[All]" allUniqueName="[Перечни_из_цехов].[Класс_критичности].[All]" dimensionUniqueName="[Перечни_из_цехов]" displayFolder="" count="0" memberValueDatatype="130" unbalanced="0"/>
    <cacheHierarchy uniqueName="[Перечни_из_цехов].[Убыток_при_аварии_руб.]" caption="Убыток_при_аварии_руб." attribute="1" defaultMemberUniqueName="[Перечни_из_цехов].[Убыток_при_аварии_руб.].[All]" allUniqueName="[Перечни_из_цехов].[Убыток_при_аварии_руб.].[All]" dimensionUniqueName="[Перечни_из_цехов]" displayFolder="" count="0" memberValueDatatype="20" unbalanced="0"/>
    <cacheHierarchy uniqueName="[Перечни_из_цехов].[Месяц_Плана]" caption="Месяц_Плана" attribute="1" defaultMemberUniqueName="[Перечни_из_цехов].[Месяц_Плана].[All]" allUniqueName="[Перечни_из_цехов].[Месяц_Плана].[All]" dimensionUniqueName="[Перечни_из_цехов]" displayFolder="" count="0" memberValueDatatype="130" unbalanced="0"/>
    <cacheHierarchy uniqueName="[Перечни_из_цехов].[Месяц_Название]" caption="Месяц_Название" attribute="1" defaultMemberUniqueName="[Перечни_из_цехов].[Месяц_Название].[All]" allUniqueName="[Перечни_из_цехов].[Месяц_Название].[All]" dimensionUniqueName="[Перечни_из_цехов]" displayFolder="" count="2" memberValueDatatype="130" unbalanced="0">
      <fieldsUsage count="2">
        <fieldUsage x="-1"/>
        <fieldUsage x="1"/>
      </fieldsUsage>
    </cacheHierarchy>
    <cacheHierarchy uniqueName="[Перечни_из_цехов].[Месяц_Номер]" caption="Месяц_Номер" attribute="1" defaultMemberUniqueName="[Перечни_из_цехов].[Месяц_Номер].[All]" allUniqueName="[Перечни_из_цехов].[Месяц_Номер].[All]" dimensionUniqueName="[Перечни_из_цехов]" displayFolder="" count="0" memberValueDatatype="20" unbalanced="0"/>
    <cacheHierarchy uniqueName="[Прайс].[Название_СИ]" caption="Название_СИ" attribute="1" defaultMemberUniqueName="[Прайс].[Название_СИ].[All]" allUniqueName="[Прайс].[Название_СИ].[All]" dimensionUniqueName="[Прайс]" displayFolder="" count="0" memberValueDatatype="130" unbalanced="0"/>
    <cacheHierarchy uniqueName="[Прайс].[Тип_СИ]" caption="Тип_СИ" attribute="1" defaultMemberUniqueName="[Прайс].[Тип_СИ].[All]" allUniqueName="[Прайс].[Тип_СИ].[All]" dimensionUniqueName="[Прайс]" displayFolder="" count="0" memberValueDatatype="130" unbalanced="0"/>
    <cacheHierarchy uniqueName="[Прайс].[Цена_поверки_руб.]" caption="Цена_поверки_руб." attribute="1" defaultMemberUniqueName="[Прайс].[Цена_поверки_руб.].[All]" allUniqueName="[Прайс].[Цена_поверки_руб.].[All]" dimensionUniqueName="[Прайс]" displayFolder="" count="0" memberValueDatatype="20" unbalanced="0"/>
    <cacheHierarchy uniqueName="[Стоимость_простоя].[Цех]" caption="Цех" attribute="1" defaultMemberUniqueName="[Стоимость_простоя].[Цех].[All]" allUniqueName="[Стоимость_простоя].[Цех].[All]" dimensionUniqueName="[Стоимость_простоя]" displayFolder="" count="0" memberValueDatatype="130" unbalanced="0"/>
    <cacheHierarchy uniqueName="[Стоимость_простоя].[Цена_часа_простоя_руб]" caption="Цена_часа_простоя_руб" attribute="1" defaultMemberUniqueName="[Стоимость_простоя].[Цена_часа_простоя_руб].[All]" allUniqueName="[Стоимость_простоя].[Цена_часа_простоя_руб].[All]" dimensionUniqueName="[Стоимость_простоя]" displayFolder="" count="0" memberValueDatatype="20" unbalanced="0"/>
    <cacheHierarchy uniqueName="[Стоимость_простоя].[Время_восстановления_час]" caption="Время_восстановления_час" attribute="1" defaultMemberUniqueName="[Стоимость_простоя].[Время_восстановления_час].[All]" allUniqueName="[Стоимость_простоя].[Время_восстановления_час].[All]" dimensionUniqueName="[Стоимость_простоя]" displayFolder="" count="0" memberValueDatatype="20" unbalanced="0"/>
    <cacheHierarchy uniqueName="[Стоимость_простоя].[Критичность]" caption="Критичность" attribute="1" defaultMemberUniqueName="[Стоимость_простоя].[Критичность].[All]" allUniqueName="[Стоимость_простоя].[Критичность].[All]" dimensionUniqueName="[Стоимость_простоя]" displayFolder="" count="0" memberValueDatatype="130" unbalanced="0"/>
    <cacheHierarchy uniqueName="[Measures].[Число элементов в столбце Заводской_номер]" caption="Число элементов в столбце Заводской_номер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Цена_часа_простоя_руб]" caption="Сумма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Цена_часа_простоя_руб]" caption="Среднее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Убыток_руб]" caption="Сумма по столбцу Убыток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Потенциальный_Риск_Цеха]" caption="Потенциальный_Риск_Цеха" measure="1" displayFolder="" measureGroup="Перечни_из_цехов" count="0"/>
    <cacheHierarchy uniqueName="[Measures].[Реальный_Убыток_Просрочки]" caption="Реальный_Убыток_Просрочки" measure="1" displayFolder="" measureGroup="Перечни_из_цехов" count="0"/>
    <cacheHierarchy uniqueName="[Measures].[Бюджет_Поверок]" caption="Бюджет_Поверок" measure="1" displayFolder="" measureGroup="Перечни_из_цехов" count="0"/>
    <cacheHierarchy uniqueName="[Measures].[Риск_SLA_Поставок]" caption="Риск_SLA_Поставок" measure="1" displayFolder="" measureGroup="Перечни_из_цехов" count="0" oneField="1">
      <fieldsUsage count="1">
        <fieldUsage x="0"/>
      </fieldsUsage>
    </cacheHierarchy>
    <cacheHierarchy uniqueName="[Measures].[__XL_Count Прайс]" caption="__XL_Count Прайс" measure="1" displayFolder="" measureGroup="Прайс" count="0" hidden="1"/>
    <cacheHierarchy uniqueName="[Measures].[__XL_Count Стоимость_простоя]" caption="__XL_Count Стоимость_простоя" measure="1" displayFolder="" measureGroup="Стоимость_простоя" count="0" hidden="1"/>
    <cacheHierarchy uniqueName="[Measures].[__XL_Count Перечни_из_цехов]" caption="__XL_Count Перечни_из_цехов" measure="1" displayFolder="" measureGroup="Перечни_из_цехов" count="0" hidden="1"/>
    <cacheHierarchy uniqueName="[Measures].[__XL_Count Журнал_выполнение]" caption="__XL_Count Журнал_выполнение" measure="1" displayFolder="" measureGroup="Журнал_выполнение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5">
    <dimension measure="1" name="Measures" uniqueName="[Measures]" caption="Measures"/>
    <dimension name="Журнал_выполнение" uniqueName="[Журнал_выполнение]" caption="Журнал_выполнение"/>
    <dimension name="Перечни_из_цехов" uniqueName="[Перечни_из_цехов]" caption="Перечни_из_цехов"/>
    <dimension name="Прайс" uniqueName="[Прайс]" caption="Прайс"/>
    <dimension name="Стоимость_простоя" uniqueName="[Стоимость_простоя]" caption="Стоимость_простоя"/>
  </dimensions>
  <measureGroups count="4">
    <measureGroup name="Журнал_выполнение" caption="Журнал_выполнение"/>
    <measureGroup name="Перечни_из_цехов" caption="Перечни_из_цехов"/>
    <measureGroup name="Прайс" caption="Прайс"/>
    <measureGroup name="Стоимость_простоя" caption="Стоимость_простоя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Марина" refreshedDate="46276.687337847223" backgroundQuery="1" createdVersion="6" refreshedVersion="6" minRefreshableVersion="3" recordCount="0" supportSubquery="1" supportAdvancedDrill="1" xr:uid="{9C3D7EB5-D7A7-430C-BFFA-215B3593E82F}">
  <cacheSource type="external" connectionId="1"/>
  <cacheFields count="4">
    <cacheField name="[Measures].[Бюджет_Поверок]" caption="Бюджет_Поверок" numFmtId="0" hierarchy="40" level="32767"/>
    <cacheField name="[Measures].[Потенциальный_Риск_Цеха]" caption="Потенциальный_Риск_Цеха" numFmtId="0" hierarchy="38" level="32767"/>
    <cacheField name="[Перечни_из_цехов].[Месяц_Название].[Месяц_Название]" caption="Месяц_Название" numFmtId="0" hierarchy="25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Перечни_из_цехов].[Цех].[Цех]" caption="Цех" numFmtId="0" hierarchy="8" level="1">
      <sharedItems containsSemiMixedTypes="0" containsNonDate="0" containsString="0"/>
    </cacheField>
  </cacheFields>
  <cacheHierarchies count="47">
    <cacheHierarchy uniqueName="[Журнал_выполнение].[Заводской_номер]" caption="Заводской_номер" attribute="1" defaultMemberUniqueName="[Журнал_выполнение].[Заводской_номер].[All]" allUniqueName="[Журнал_выполнение].[Заводской_номер].[All]" dimensionUniqueName="[Журнал_выполнение]" displayFolder="" count="0" memberValueDatatype="130" unbalanced="0"/>
    <cacheHierarchy uniqueName="[Журнал_выполнение].[Название_СИ]" caption="Название_СИ" attribute="1" defaultMemberUniqueName="[Журнал_выполнение].[Название_СИ].[All]" allUniqueName="[Журнал_выполнение].[Название_СИ].[All]" dimensionUniqueName="[Журнал_выполнение]" displayFolder="" count="0" memberValueDatatype="130" unbalanced="0"/>
    <cacheHierarchy uniqueName="[Журнал_выполнение].[Тип_СИ]" caption="Тип_СИ" attribute="1" defaultMemberUniqueName="[Журнал_выполнение].[Тип_СИ].[All]" allUniqueName="[Журнал_выполнение].[Тип_СИ].[All]" dimensionUniqueName="[Журнал_выполнение]" displayFolder="" count="0" memberValueDatatype="130" unbalanced="0"/>
    <cacheHierarchy uniqueName="[Журнал_выполнение].[Дата_факта]" caption="Дата_факта" attribute="1" time="1" defaultMemberUniqueName="[Журнал_выполнение].[Дата_факта].[All]" allUniqueName="[Журнал_выполнение].[Дата_факта].[All]" dimensionUniqueName="[Журнал_выполнение]" displayFolder="" count="0" memberValueDatatype="7" unbalanced="0"/>
    <cacheHierarchy uniqueName="[Журнал_выполнение].[Результат]" caption="Результат" attribute="1" defaultMemberUniqueName="[Журнал_выполнение].[Результат].[All]" allUniqueName="[Журнал_выполнение].[Результат].[All]" dimensionUniqueName="[Журнал_выполнение]" displayFolder="" count="0" memberValueDatatype="130" unbalanced="0"/>
    <cacheHierarchy uniqueName="[Перечни_из_цехов].[Заводской_номер]" caption="Заводской_номер" attribute="1" defaultMemberUniqueName="[Перечни_из_цехов].[Заводской_номер].[All]" allUniqueName="[Перечни_из_цехов].[Заводской_номер].[All]" dimensionUniqueName="[Перечни_из_цехов]" displayFolder="" count="0" memberValueDatatype="130" unbalanced="0"/>
    <cacheHierarchy uniqueName="[Перечни_из_цехов].[Название_СИ]" caption="Название_СИ" attribute="1" defaultMemberUniqueName="[Перечни_из_цехов].[Название_СИ].[All]" allUniqueName="[Перечни_из_цехов].[Название_СИ].[All]" dimensionUniqueName="[Перечни_из_цехов]" displayFolder="" count="0" memberValueDatatype="130" unbalanced="0"/>
    <cacheHierarchy uniqueName="[Перечни_из_цехов].[Тип_СИ]" caption="Тип_СИ" attribute="1" defaultMemberUniqueName="[Перечни_из_цехов].[Тип_СИ].[All]" allUniqueName="[Перечни_из_цехов].[Тип_СИ].[All]" dimensionUniqueName="[Перечни_из_цехов]" displayFolder="" count="0" memberValueDatatype="130" unbalanced="0"/>
    <cacheHierarchy uniqueName="[Перечни_из_цехов].[Цех]" caption="Цех" attribute="1" defaultMemberUniqueName="[Перечни_из_цехов].[Цех].[All]" allUniqueName="[Перечни_из_цехов].[Цех].[All]" dimensionUniqueName="[Перечни_из_цехов]" displayFolder="" count="2" memberValueDatatype="130" unbalanced="0">
      <fieldsUsage count="2">
        <fieldUsage x="-1"/>
        <fieldUsage x="3"/>
      </fieldsUsage>
    </cacheHierarchy>
    <cacheHierarchy uniqueName="[Перечни_из_цехов].[Тип_работы]" caption="Тип_работы" attribute="1" defaultMemberUniqueName="[Перечни_из_цехов].[Тип_работы].[All]" allUniqueName="[Перечни_из_цехов].[Тип_работы].[All]" dimensionUniqueName="[Перечни_из_цехов]" displayFolder="" count="0" memberValueDatatype="130" unbalanced="0"/>
    <cacheHierarchy uniqueName="[Перечни_из_цехов].[МПИ_мес]" caption="МПИ_мес" attribute="1" defaultMemberUniqueName="[Перечни_из_цехов].[МПИ_мес].[All]" allUniqueName="[Перечни_из_цехов].[МПИ_мес].[All]" dimensionUniqueName="[Перечни_из_цехов]" displayFolder="" count="0" memberValueDatatype="20" unbalanced="0"/>
    <cacheHierarchy uniqueName="[Перечни_из_цехов].[Дата_последней_поверки]" caption="Дата_последней_поверки" attribute="1" time="1" defaultMemberUniqueName="[Перечни_из_цехов].[Дата_последней_поверки].[All]" allUniqueName="[Перечни_из_цехов].[Дата_последней_поверки].[All]" dimensionUniqueName="[Перечни_из_цехов]" displayFolder="" count="0" memberValueDatatype="7" unbalanced="0"/>
    <cacheHierarchy uniqueName="[Перечни_из_цехов].[Дата_факта]" caption="Дата_факта" attribute="1" time="1" defaultMemberUniqueName="[Перечни_из_цехов].[Дата_факта].[All]" allUniqueName="[Перечни_из_цехов].[Дата_факта].[All]" dimensionUniqueName="[Перечни_из_цехов]" displayFolder="" count="0" memberValueDatatype="7" unbalanced="0"/>
    <cacheHierarchy uniqueName="[Перечни_из_цехов].[Результат]" caption="Результат" attribute="1" defaultMemberUniqueName="[Перечни_из_цехов].[Результат].[All]" allUniqueName="[Перечни_из_цехов].[Результат].[All]" dimensionUniqueName="[Перечни_из_цехов]" displayFolder="" count="0" memberValueDatatype="130" unbalanced="0"/>
    <cacheHierarchy uniqueName="[Перечни_из_цехов].[Цена_часа_простоя_руб]" caption="Цена_часа_простоя_руб" attribute="1" defaultMemberUniqueName="[Перечни_из_цехов].[Цена_часа_простоя_руб].[All]" allUniqueName="[Перечни_из_цехов].[Цена_часа_простоя_руб].[All]" dimensionUniqueName="[Перечни_из_цехов]" displayFolder="" count="0" memberValueDatatype="20" unbalanced="0"/>
    <cacheHierarchy uniqueName="[Перечни_из_цехов].[Время_восстановления_час]" caption="Время_восстановления_час" attribute="1" defaultMemberUniqueName="[Перечни_из_цехов].[Время_восстановления_час].[All]" allUniqueName="[Перечни_из_цехов].[Время_восстановления_час].[All]" dimensionUniqueName="[Перечни_из_цехов]" displayFolder="" count="0" memberValueDatatype="20" unbalanced="0"/>
    <cacheHierarchy uniqueName="[Перечни_из_цехов].[Критичность]" caption="Критичность" attribute="1" defaultMemberUniqueName="[Перечни_из_цехов].[Критичность].[All]" allUniqueName="[Перечни_из_цехов].[Критичность].[All]" dimensionUniqueName="[Перечни_из_цехов]" displayFolder="" count="0" memberValueDatatype="130" unbalanced="0"/>
    <cacheHierarchy uniqueName="[Перечни_из_цехов].[Цена_поверки_руб.]" caption="Цена_поверки_руб." attribute="1" defaultMemberUniqueName="[Перечни_из_цехов].[Цена_поверки_руб.].[All]" allUniqueName="[Перечни_из_цехов].[Цена_поверки_руб.].[All]" dimensionUniqueName="[Перечни_из_цехов]" displayFolder="" count="0" memberValueDatatype="20" unbalanced="0"/>
    <cacheHierarchy uniqueName="[Перечни_из_цехов].[Дата_следующей_поверки]" caption="Дата_следующей_поверки" attribute="1" time="1" defaultMemberUniqueName="[Перечни_из_цехов].[Дата_следующей_поверки].[All]" allUniqueName="[Перечни_из_цехов].[Дата_следующей_поверки].[All]" dimensionUniqueName="[Перечни_из_цехов]" displayFolder="" count="0" memberValueDatatype="7" unbalanced="0"/>
    <cacheHierarchy uniqueName="[Перечни_из_цехов].[Дни_расчетные]" caption="Дни_расчетные" attribute="1" defaultMemberUniqueName="[Перечни_из_цехов].[Дни_расчетные].[All]" allUniqueName="[Перечни_из_цехов].[Дни_расчетные].[All]" dimensionUniqueName="[Перечни_из_цехов]" displayFolder="" count="0" memberValueDatatype="20" unbalanced="0"/>
    <cacheHierarchy uniqueName="[Перечни_из_цехов].[Дни_простоя]" caption="Дни_простоя" attribute="1" defaultMemberUniqueName="[Перечни_из_цехов].[Дни_простоя].[All]" allUniqueName="[Перечни_из_цехов].[Дни_простоя].[All]" dimensionUniqueName="[Перечни_из_цехов]" displayFolder="" count="0" memberValueDatatype="20" unbalanced="0"/>
    <cacheHierarchy uniqueName="[Перечни_из_цехов].[Убыток_руб]" caption="Убыток_руб" attribute="1" defaultMemberUniqueName="[Перечни_из_цехов].[Убыток_руб].[All]" allUniqueName="[Перечни_из_цехов].[Убыток_руб].[All]" dimensionUniqueName="[Перечни_из_цехов]" displayFolder="" count="0" memberValueDatatype="20" unbalanced="0"/>
    <cacheHierarchy uniqueName="[Перечни_из_цехов].[Класс_критичности]" caption="Класс_критичности" attribute="1" defaultMemberUniqueName="[Перечни_из_цехов].[Класс_критичности].[All]" allUniqueName="[Перечни_из_цехов].[Класс_критичности].[All]" dimensionUniqueName="[Перечни_из_цехов]" displayFolder="" count="0" memberValueDatatype="130" unbalanced="0"/>
    <cacheHierarchy uniqueName="[Перечни_из_цехов].[Убыток_при_аварии_руб.]" caption="Убыток_при_аварии_руб." attribute="1" defaultMemberUniqueName="[Перечни_из_цехов].[Убыток_при_аварии_руб.].[All]" allUniqueName="[Перечни_из_цехов].[Убыток_при_аварии_руб.].[All]" dimensionUniqueName="[Перечни_из_цехов]" displayFolder="" count="0" memberValueDatatype="20" unbalanced="0"/>
    <cacheHierarchy uniqueName="[Перечни_из_цехов].[Месяц_Плана]" caption="Месяц_Плана" attribute="1" defaultMemberUniqueName="[Перечни_из_цехов].[Месяц_Плана].[All]" allUniqueName="[Перечни_из_цехов].[Месяц_Плана].[All]" dimensionUniqueName="[Перечни_из_цехов]" displayFolder="" count="0" memberValueDatatype="130" unbalanced="0"/>
    <cacheHierarchy uniqueName="[Перечни_из_цехов].[Месяц_Название]" caption="Месяц_Название" attribute="1" defaultMemberUniqueName="[Перечни_из_цехов].[Месяц_Название].[All]" allUniqueName="[Перечни_из_цехов].[Месяц_Название].[All]" dimensionUniqueName="[Перечни_из_цехов]" displayFolder="" count="2" memberValueDatatype="130" unbalanced="0">
      <fieldsUsage count="2">
        <fieldUsage x="-1"/>
        <fieldUsage x="2"/>
      </fieldsUsage>
    </cacheHierarchy>
    <cacheHierarchy uniqueName="[Перечни_из_цехов].[Месяц_Номер]" caption="Месяц_Номер" attribute="1" defaultMemberUniqueName="[Перечни_из_цехов].[Месяц_Номер].[All]" allUniqueName="[Перечни_из_цехов].[Месяц_Номер].[All]" dimensionUniqueName="[Перечни_из_цехов]" displayFolder="" count="0" memberValueDatatype="20" unbalanced="0"/>
    <cacheHierarchy uniqueName="[Прайс].[Название_СИ]" caption="Название_СИ" attribute="1" defaultMemberUniqueName="[Прайс].[Название_СИ].[All]" allUniqueName="[Прайс].[Название_СИ].[All]" dimensionUniqueName="[Прайс]" displayFolder="" count="0" memberValueDatatype="130" unbalanced="0"/>
    <cacheHierarchy uniqueName="[Прайс].[Тип_СИ]" caption="Тип_СИ" attribute="1" defaultMemberUniqueName="[Прайс].[Тип_СИ].[All]" allUniqueName="[Прайс].[Тип_СИ].[All]" dimensionUniqueName="[Прайс]" displayFolder="" count="0" memberValueDatatype="130" unbalanced="0"/>
    <cacheHierarchy uniqueName="[Прайс].[Цена_поверки_руб.]" caption="Цена_поверки_руб." attribute="1" defaultMemberUniqueName="[Прайс].[Цена_поверки_руб.].[All]" allUniqueName="[Прайс].[Цена_поверки_руб.].[All]" dimensionUniqueName="[Прайс]" displayFolder="" count="0" memberValueDatatype="20" unbalanced="0"/>
    <cacheHierarchy uniqueName="[Стоимость_простоя].[Цех]" caption="Цех" attribute="1" defaultMemberUniqueName="[Стоимость_простоя].[Цех].[All]" allUniqueName="[Стоимость_простоя].[Цех].[All]" dimensionUniqueName="[Стоимость_простоя]" displayFolder="" count="0" memberValueDatatype="130" unbalanced="0"/>
    <cacheHierarchy uniqueName="[Стоимость_простоя].[Цена_часа_простоя_руб]" caption="Цена_часа_простоя_руб" attribute="1" defaultMemberUniqueName="[Стоимость_простоя].[Цена_часа_простоя_руб].[All]" allUniqueName="[Стоимость_простоя].[Цена_часа_простоя_руб].[All]" dimensionUniqueName="[Стоимость_простоя]" displayFolder="" count="0" memberValueDatatype="20" unbalanced="0"/>
    <cacheHierarchy uniqueName="[Стоимость_простоя].[Время_восстановления_час]" caption="Время_восстановления_час" attribute="1" defaultMemberUniqueName="[Стоимость_простоя].[Время_восстановления_час].[All]" allUniqueName="[Стоимость_простоя].[Время_восстановления_час].[All]" dimensionUniqueName="[Стоимость_простоя]" displayFolder="" count="0" memberValueDatatype="20" unbalanced="0"/>
    <cacheHierarchy uniqueName="[Стоимость_простоя].[Критичность]" caption="Критичность" attribute="1" defaultMemberUniqueName="[Стоимость_простоя].[Критичность].[All]" allUniqueName="[Стоимость_простоя].[Критичность].[All]" dimensionUniqueName="[Стоимость_простоя]" displayFolder="" count="0" memberValueDatatype="130" unbalanced="0"/>
    <cacheHierarchy uniqueName="[Measures].[Число элементов в столбце Заводской_номер]" caption="Число элементов в столбце Заводской_номер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Цена_часа_простоя_руб]" caption="Сумма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Цена_часа_простоя_руб]" caption="Среднее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Убыток_руб]" caption="Сумма по столбцу Убыток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Потенциальный_Риск_Цеха]" caption="Потенциальный_Риск_Цеха" measure="1" displayFolder="" measureGroup="Перечни_из_цехов" count="0" oneField="1">
      <fieldsUsage count="1">
        <fieldUsage x="1"/>
      </fieldsUsage>
    </cacheHierarchy>
    <cacheHierarchy uniqueName="[Measures].[Реальный_Убыток_Просрочки]" caption="Реальный_Убыток_Просрочки" measure="1" displayFolder="" measureGroup="Перечни_из_цехов" count="0"/>
    <cacheHierarchy uniqueName="[Measures].[Бюджет_Поверок]" caption="Бюджет_Поверок" measure="1" displayFolder="" measureGroup="Перечни_из_цехов" count="0" oneField="1">
      <fieldsUsage count="1">
        <fieldUsage x="0"/>
      </fieldsUsage>
    </cacheHierarchy>
    <cacheHierarchy uniqueName="[Measures].[Риск_SLA_Поставок]" caption="Риск_SLA_Поставок" measure="1" displayFolder="" measureGroup="Перечни_из_цехов" count="0"/>
    <cacheHierarchy uniqueName="[Measures].[__XL_Count Прайс]" caption="__XL_Count Прайс" measure="1" displayFolder="" measureGroup="Прайс" count="0" hidden="1"/>
    <cacheHierarchy uniqueName="[Measures].[__XL_Count Стоимость_простоя]" caption="__XL_Count Стоимость_простоя" measure="1" displayFolder="" measureGroup="Стоимость_простоя" count="0" hidden="1"/>
    <cacheHierarchy uniqueName="[Measures].[__XL_Count Перечни_из_цехов]" caption="__XL_Count Перечни_из_цехов" measure="1" displayFolder="" measureGroup="Перечни_из_цехов" count="0" hidden="1"/>
    <cacheHierarchy uniqueName="[Measures].[__XL_Count Журнал_выполнение]" caption="__XL_Count Журнал_выполнение" measure="1" displayFolder="" measureGroup="Журнал_выполнение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5">
    <dimension measure="1" name="Measures" uniqueName="[Measures]" caption="Measures"/>
    <dimension name="Журнал_выполнение" uniqueName="[Журнал_выполнение]" caption="Журнал_выполнение"/>
    <dimension name="Перечни_из_цехов" uniqueName="[Перечни_из_цехов]" caption="Перечни_из_цехов"/>
    <dimension name="Прайс" uniqueName="[Прайс]" caption="Прайс"/>
    <dimension name="Стоимость_простоя" uniqueName="[Стоимость_простоя]" caption="Стоимость_простоя"/>
  </dimensions>
  <measureGroups count="4">
    <measureGroup name="Журнал_выполнение" caption="Журнал_выполнение"/>
    <measureGroup name="Перечни_из_цехов" caption="Перечни_из_цехов"/>
    <measureGroup name="Прайс" caption="Прайс"/>
    <measureGroup name="Стоимость_простоя" caption="Стоимость_простоя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Марина" refreshedDate="46276.687329976849" backgroundQuery="1" createdVersion="3" refreshedVersion="6" minRefreshableVersion="3" recordCount="0" supportSubquery="1" supportAdvancedDrill="1" xr:uid="{A2F32897-E001-4A57-B1BD-BD5DB37F192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7">
    <cacheHierarchy uniqueName="[Журнал_выполнение].[Заводской_номер]" caption="Заводской_номер" attribute="1" defaultMemberUniqueName="[Журнал_выполнение].[Заводской_номер].[All]" allUniqueName="[Журнал_выполнение].[Заводской_номер].[All]" dimensionUniqueName="[Журнал_выполнение]" displayFolder="" count="0" memberValueDatatype="130" unbalanced="0"/>
    <cacheHierarchy uniqueName="[Журнал_выполнение].[Название_СИ]" caption="Название_СИ" attribute="1" defaultMemberUniqueName="[Журнал_выполнение].[Название_СИ].[All]" allUniqueName="[Журнал_выполнение].[Название_СИ].[All]" dimensionUniqueName="[Журнал_выполнение]" displayFolder="" count="0" memberValueDatatype="130" unbalanced="0"/>
    <cacheHierarchy uniqueName="[Журнал_выполнение].[Тип_СИ]" caption="Тип_СИ" attribute="1" defaultMemberUniqueName="[Журнал_выполнение].[Тип_СИ].[All]" allUniqueName="[Журнал_выполнение].[Тип_СИ].[All]" dimensionUniqueName="[Журнал_выполнение]" displayFolder="" count="0" memberValueDatatype="130" unbalanced="0"/>
    <cacheHierarchy uniqueName="[Журнал_выполнение].[Дата_факта]" caption="Дата_факта" attribute="1" time="1" defaultMemberUniqueName="[Журнал_выполнение].[Дата_факта].[All]" allUniqueName="[Журнал_выполнение].[Дата_факта].[All]" dimensionUniqueName="[Журнал_выполнение]" displayFolder="" count="0" memberValueDatatype="7" unbalanced="0"/>
    <cacheHierarchy uniqueName="[Журнал_выполнение].[Результат]" caption="Результат" attribute="1" defaultMemberUniqueName="[Журнал_выполнение].[Результат].[All]" allUniqueName="[Журнал_выполнение].[Результат].[All]" dimensionUniqueName="[Журнал_выполнение]" displayFolder="" count="0" memberValueDatatype="130" unbalanced="0"/>
    <cacheHierarchy uniqueName="[Перечни_из_цехов].[Заводской_номер]" caption="Заводской_номер" attribute="1" defaultMemberUniqueName="[Перечни_из_цехов].[Заводской_номер].[All]" allUniqueName="[Перечни_из_цехов].[Заводской_номер].[All]" dimensionUniqueName="[Перечни_из_цехов]" displayFolder="" count="0" memberValueDatatype="130" unbalanced="0"/>
    <cacheHierarchy uniqueName="[Перечни_из_цехов].[Название_СИ]" caption="Название_СИ" attribute="1" defaultMemberUniqueName="[Перечни_из_цехов].[Название_СИ].[All]" allUniqueName="[Перечни_из_цехов].[Название_СИ].[All]" dimensionUniqueName="[Перечни_из_цехов]" displayFolder="" count="0" memberValueDatatype="130" unbalanced="0"/>
    <cacheHierarchy uniqueName="[Перечни_из_цехов].[Тип_СИ]" caption="Тип_СИ" attribute="1" defaultMemberUniqueName="[Перечни_из_цехов].[Тип_СИ].[All]" allUniqueName="[Перечни_из_цехов].[Тип_СИ].[All]" dimensionUniqueName="[Перечни_из_цехов]" displayFolder="" count="0" memberValueDatatype="130" unbalanced="0"/>
    <cacheHierarchy uniqueName="[Перечни_из_цехов].[Цех]" caption="Цех" attribute="1" defaultMemberUniqueName="[Перечни_из_цехов].[Цех].[All]" allUniqueName="[Перечни_из_цехов].[Цех].[All]" dimensionUniqueName="[Перечни_из_цехов]" displayFolder="" count="2" memberValueDatatype="130" unbalanced="0"/>
    <cacheHierarchy uniqueName="[Перечни_из_цехов].[Тип_работы]" caption="Тип_работы" attribute="1" defaultMemberUniqueName="[Перечни_из_цехов].[Тип_работы].[All]" allUniqueName="[Перечни_из_цехов].[Тип_работы].[All]" dimensionUniqueName="[Перечни_из_цехов]" displayFolder="" count="0" memberValueDatatype="130" unbalanced="0"/>
    <cacheHierarchy uniqueName="[Перечни_из_цехов].[МПИ_мес]" caption="МПИ_мес" attribute="1" defaultMemberUniqueName="[Перечни_из_цехов].[МПИ_мес].[All]" allUniqueName="[Перечни_из_цехов].[МПИ_мес].[All]" dimensionUniqueName="[Перечни_из_цехов]" displayFolder="" count="0" memberValueDatatype="20" unbalanced="0"/>
    <cacheHierarchy uniqueName="[Перечни_из_цехов].[Дата_последней_поверки]" caption="Дата_последней_поверки" attribute="1" time="1" defaultMemberUniqueName="[Перечни_из_цехов].[Дата_последней_поверки].[All]" allUniqueName="[Перечни_из_цехов].[Дата_последней_поверки].[All]" dimensionUniqueName="[Перечни_из_цехов]" displayFolder="" count="0" memberValueDatatype="7" unbalanced="0"/>
    <cacheHierarchy uniqueName="[Перечни_из_цехов].[Дата_факта]" caption="Дата_факта" attribute="1" time="1" defaultMemberUniqueName="[Перечни_из_цехов].[Дата_факта].[All]" allUniqueName="[Перечни_из_цехов].[Дата_факта].[All]" dimensionUniqueName="[Перечни_из_цехов]" displayFolder="" count="0" memberValueDatatype="7" unbalanced="0"/>
    <cacheHierarchy uniqueName="[Перечни_из_цехов].[Результат]" caption="Результат" attribute="1" defaultMemberUniqueName="[Перечни_из_цехов].[Результат].[All]" allUniqueName="[Перечни_из_цехов].[Результат].[All]" dimensionUniqueName="[Перечни_из_цехов]" displayFolder="" count="0" memberValueDatatype="130" unbalanced="0"/>
    <cacheHierarchy uniqueName="[Перечни_из_цехов].[Цена_часа_простоя_руб]" caption="Цена_часа_простоя_руб" attribute="1" defaultMemberUniqueName="[Перечни_из_цехов].[Цена_часа_простоя_руб].[All]" allUniqueName="[Перечни_из_цехов].[Цена_часа_простоя_руб].[All]" dimensionUniqueName="[Перечни_из_цехов]" displayFolder="" count="0" memberValueDatatype="20" unbalanced="0"/>
    <cacheHierarchy uniqueName="[Перечни_из_цехов].[Время_восстановления_час]" caption="Время_восстановления_час" attribute="1" defaultMemberUniqueName="[Перечни_из_цехов].[Время_восстановления_час].[All]" allUniqueName="[Перечни_из_цехов].[Время_восстановления_час].[All]" dimensionUniqueName="[Перечни_из_цехов]" displayFolder="" count="0" memberValueDatatype="20" unbalanced="0"/>
    <cacheHierarchy uniqueName="[Перечни_из_цехов].[Критичность]" caption="Критичность" attribute="1" defaultMemberUniqueName="[Перечни_из_цехов].[Критичность].[All]" allUniqueName="[Перечни_из_цехов].[Критичность].[All]" dimensionUniqueName="[Перечни_из_цехов]" displayFolder="" count="0" memberValueDatatype="130" unbalanced="0"/>
    <cacheHierarchy uniqueName="[Перечни_из_цехов].[Цена_поверки_руб.]" caption="Цена_поверки_руб." attribute="1" defaultMemberUniqueName="[Перечни_из_цехов].[Цена_поверки_руб.].[All]" allUniqueName="[Перечни_из_цехов].[Цена_поверки_руб.].[All]" dimensionUniqueName="[Перечни_из_цехов]" displayFolder="" count="0" memberValueDatatype="20" unbalanced="0"/>
    <cacheHierarchy uniqueName="[Перечни_из_цехов].[Дата_следующей_поверки]" caption="Дата_следующей_поверки" attribute="1" time="1" defaultMemberUniqueName="[Перечни_из_цехов].[Дата_следующей_поверки].[All]" allUniqueName="[Перечни_из_цехов].[Дата_следующей_поверки].[All]" dimensionUniqueName="[Перечни_из_цехов]" displayFolder="" count="0" memberValueDatatype="7" unbalanced="0"/>
    <cacheHierarchy uniqueName="[Перечни_из_цехов].[Дни_расчетные]" caption="Дни_расчетные" attribute="1" defaultMemberUniqueName="[Перечни_из_цехов].[Дни_расчетные].[All]" allUniqueName="[Перечни_из_цехов].[Дни_расчетные].[All]" dimensionUniqueName="[Перечни_из_цехов]" displayFolder="" count="0" memberValueDatatype="20" unbalanced="0"/>
    <cacheHierarchy uniqueName="[Перечни_из_цехов].[Дни_простоя]" caption="Дни_простоя" attribute="1" defaultMemberUniqueName="[Перечни_из_цехов].[Дни_простоя].[All]" allUniqueName="[Перечни_из_цехов].[Дни_простоя].[All]" dimensionUniqueName="[Перечни_из_цехов]" displayFolder="" count="0" memberValueDatatype="20" unbalanced="0"/>
    <cacheHierarchy uniqueName="[Перечни_из_цехов].[Убыток_руб]" caption="Убыток_руб" attribute="1" defaultMemberUniqueName="[Перечни_из_цехов].[Убыток_руб].[All]" allUniqueName="[Перечни_из_цехов].[Убыток_руб].[All]" dimensionUniqueName="[Перечни_из_цехов]" displayFolder="" count="0" memberValueDatatype="20" unbalanced="0"/>
    <cacheHierarchy uniqueName="[Перечни_из_цехов].[Класс_критичности]" caption="Класс_критичности" attribute="1" defaultMemberUniqueName="[Перечни_из_цехов].[Класс_критичности].[All]" allUniqueName="[Перечни_из_цехов].[Класс_критичности].[All]" dimensionUniqueName="[Перечни_из_цехов]" displayFolder="" count="0" memberValueDatatype="130" unbalanced="0"/>
    <cacheHierarchy uniqueName="[Перечни_из_цехов].[Убыток_при_аварии_руб.]" caption="Убыток_при_аварии_руб." attribute="1" defaultMemberUniqueName="[Перечни_из_цехов].[Убыток_при_аварии_руб.].[All]" allUniqueName="[Перечни_из_цехов].[Убыток_при_аварии_руб.].[All]" dimensionUniqueName="[Перечни_из_цехов]" displayFolder="" count="0" memberValueDatatype="20" unbalanced="0"/>
    <cacheHierarchy uniqueName="[Перечни_из_цехов].[Месяц_Плана]" caption="Месяц_Плана" attribute="1" defaultMemberUniqueName="[Перечни_из_цехов].[Месяц_Плана].[All]" allUniqueName="[Перечни_из_цехов].[Месяц_Плана].[All]" dimensionUniqueName="[Перечни_из_цехов]" displayFolder="" count="0" memberValueDatatype="130" unbalanced="0"/>
    <cacheHierarchy uniqueName="[Перечни_из_цехов].[Месяц_Название]" caption="Месяц_Название" attribute="1" defaultMemberUniqueName="[Перечни_из_цехов].[Месяц_Название].[All]" allUniqueName="[Перечни_из_цехов].[Месяц_Название].[All]" dimensionUniqueName="[Перечни_из_цехов]" displayFolder="" count="2" memberValueDatatype="130" unbalanced="0"/>
    <cacheHierarchy uniqueName="[Перечни_из_цехов].[Месяц_Номер]" caption="Месяц_Номер" attribute="1" defaultMemberUniqueName="[Перечни_из_цехов].[Месяц_Номер].[All]" allUniqueName="[Перечни_из_цехов].[Месяц_Номер].[All]" dimensionUniqueName="[Перечни_из_цехов]" displayFolder="" count="0" memberValueDatatype="20" unbalanced="0"/>
    <cacheHierarchy uniqueName="[Прайс].[Название_СИ]" caption="Название_СИ" attribute="1" defaultMemberUniqueName="[Прайс].[Название_СИ].[All]" allUniqueName="[Прайс].[Название_СИ].[All]" dimensionUniqueName="[Прайс]" displayFolder="" count="0" memberValueDatatype="130" unbalanced="0"/>
    <cacheHierarchy uniqueName="[Прайс].[Тип_СИ]" caption="Тип_СИ" attribute="1" defaultMemberUniqueName="[Прайс].[Тип_СИ].[All]" allUniqueName="[Прайс].[Тип_СИ].[All]" dimensionUniqueName="[Прайс]" displayFolder="" count="0" memberValueDatatype="130" unbalanced="0"/>
    <cacheHierarchy uniqueName="[Прайс].[Цена_поверки_руб.]" caption="Цена_поверки_руб." attribute="1" defaultMemberUniqueName="[Прайс].[Цена_поверки_руб.].[All]" allUniqueName="[Прайс].[Цена_поверки_руб.].[All]" dimensionUniqueName="[Прайс]" displayFolder="" count="0" memberValueDatatype="20" unbalanced="0"/>
    <cacheHierarchy uniqueName="[Стоимость_простоя].[Цех]" caption="Цех" attribute="1" defaultMemberUniqueName="[Стоимость_простоя].[Цех].[All]" allUniqueName="[Стоимость_простоя].[Цех].[All]" dimensionUniqueName="[Стоимость_простоя]" displayFolder="" count="0" memberValueDatatype="130" unbalanced="0"/>
    <cacheHierarchy uniqueName="[Стоимость_простоя].[Цена_часа_простоя_руб]" caption="Цена_часа_простоя_руб" attribute="1" defaultMemberUniqueName="[Стоимость_простоя].[Цена_часа_простоя_руб].[All]" allUniqueName="[Стоимость_простоя].[Цена_часа_простоя_руб].[All]" dimensionUniqueName="[Стоимость_простоя]" displayFolder="" count="0" memberValueDatatype="20" unbalanced="0"/>
    <cacheHierarchy uniqueName="[Стоимость_простоя].[Время_восстановления_час]" caption="Время_восстановления_час" attribute="1" defaultMemberUniqueName="[Стоимость_простоя].[Время_восстановления_час].[All]" allUniqueName="[Стоимость_простоя].[Время_восстановления_час].[All]" dimensionUniqueName="[Стоимость_простоя]" displayFolder="" count="0" memberValueDatatype="20" unbalanced="0"/>
    <cacheHierarchy uniqueName="[Стоимость_простоя].[Критичность]" caption="Критичность" attribute="1" defaultMemberUniqueName="[Стоимость_простоя].[Критичность].[All]" allUniqueName="[Стоимость_простоя].[Критичность].[All]" dimensionUniqueName="[Стоимость_простоя]" displayFolder="" count="0" memberValueDatatype="130" unbalanced="0"/>
    <cacheHierarchy uniqueName="[Measures].[Число элементов в столбце Заводской_номер]" caption="Число элементов в столбце Заводской_номер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Цена_часа_простоя_руб]" caption="Сумма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Цена_часа_простоя_руб]" caption="Среднее по столбцу Цена_часа_простоя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Убыток_руб]" caption="Сумма по столбцу Убыток_руб" measure="1" displayFolder="" measureGroup="Перечни_из_цехов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Потенциальный_Риск_Цеха]" caption="Потенциальный_Риск_Цеха" measure="1" displayFolder="" measureGroup="Перечни_из_цехов" count="0"/>
    <cacheHierarchy uniqueName="[Measures].[Реальный_Убыток_Просрочки]" caption="Реальный_Убыток_Просрочки" measure="1" displayFolder="" measureGroup="Перечни_из_цехов" count="0"/>
    <cacheHierarchy uniqueName="[Measures].[Бюджет_Поверок]" caption="Бюджет_Поверок" measure="1" displayFolder="" measureGroup="Перечни_из_цехов" count="0"/>
    <cacheHierarchy uniqueName="[Measures].[Риск_SLA_Поставок]" caption="Риск_SLA_Поставок" measure="1" displayFolder="" measureGroup="Перечни_из_цехов" count="0"/>
    <cacheHierarchy uniqueName="[Measures].[__XL_Count Прайс]" caption="__XL_Count Прайс" measure="1" displayFolder="" measureGroup="Прайс" count="0" hidden="1"/>
    <cacheHierarchy uniqueName="[Measures].[__XL_Count Стоимость_простоя]" caption="__XL_Count Стоимость_простоя" measure="1" displayFolder="" measureGroup="Стоимость_простоя" count="0" hidden="1"/>
    <cacheHierarchy uniqueName="[Measures].[__XL_Count Перечни_из_цехов]" caption="__XL_Count Перечни_из_цехов" measure="1" displayFolder="" measureGroup="Перечни_из_цехов" count="0" hidden="1"/>
    <cacheHierarchy uniqueName="[Measures].[__XL_Count Журнал_выполнение]" caption="__XL_Count Журнал_выполнение" measure="1" displayFolder="" measureGroup="Журнал_выполнение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88699098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324D8-2536-4B09-BB58-77997A8FCE94}" name="Сводная таблица7" cacheId="5" applyNumberFormats="0" applyBorderFormats="0" applyFontFormats="0" applyPatternFormats="0" applyAlignmentFormats="0" applyWidthHeightFormats="1" dataCaption="Значения" tag="2a07ee85-b6b1-4852-b6b5-5506140cf017" updatedVersion="6" minRefreshableVersion="3" useAutoFormatting="1" itemPrintTitles="1" createdVersion="6" indent="0" outline="1" outlineData="1" multipleFieldFilters="0">
  <location ref="B140:B141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64"/>
  </dataFields>
  <formats count="1">
    <format dxfId="0">
      <pivotArea outline="0" collapsedLevelsAreSubtotals="1" fieldPosition="0"/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Перечни_из_цехов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2B597-1D4B-4D94-AC31-730B8D1FE889}" name="Сводная таблица6" cacheId="4" applyNumberFormats="0" applyBorderFormats="0" applyFontFormats="0" applyPatternFormats="0" applyAlignmentFormats="0" applyWidthHeightFormats="1" dataCaption="Значения" tag="41513d53-1342-44c2-9982-6c51e25fd7ce" updatedVersion="6" minRefreshableVersion="3" useAutoFormatting="1" itemPrintTitles="1" createdVersion="6" indent="0" outline="1" outlineData="1" multipleFieldFilters="0" chartFormat="4">
  <location ref="B125:C133" firstHeaderRow="1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8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Перечни_из_цехов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80D3A-9511-43D9-ABE2-99BC86E8CAD5}" name="Сводная таблица1" cacheId="0" applyNumberFormats="0" applyBorderFormats="0" applyFontFormats="0" applyPatternFormats="0" applyAlignmentFormats="0" applyWidthHeightFormats="1" dataCaption="Значения" tag="69cea766-2ad5-4071-8d52-48f2f1f274ae" updatedVersion="6" minRefreshableVersion="3" useAutoFormatting="1" itemPrintTitles="1" createdVersion="6" indent="0" outline="1" outlineData="1" multipleFieldFilters="0" chartFormat="3">
  <location ref="B2:C12" firstHeaderRow="1" firstDataRow="1" firstDataCol="1"/>
  <pivotFields count="3"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">
    <i>
      <x v="5"/>
    </i>
    <i>
      <x v="2"/>
    </i>
    <i>
      <x v="8"/>
    </i>
    <i>
      <x/>
    </i>
    <i>
      <x v="1"/>
    </i>
    <i>
      <x v="7"/>
    </i>
    <i>
      <x v="4"/>
    </i>
    <i>
      <x v="6"/>
    </i>
    <i>
      <x v="3"/>
    </i>
    <i t="grand">
      <x/>
    </i>
  </rowItems>
  <colItems count="1">
    <i/>
  </colItems>
  <dataFields count="1">
    <dataField fld="1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Перечни_из_цехов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58E61-03E6-4925-8481-B479920097F2}" name="Сводная таблица5" cacheId="3" applyNumberFormats="0" applyBorderFormats="0" applyFontFormats="0" applyPatternFormats="0" applyAlignmentFormats="0" applyWidthHeightFormats="1" dataCaption="Значения" tag="b6bc9481-0d20-4a47-8a90-cccbb162153d" updatedVersion="6" minRefreshableVersion="3" useAutoFormatting="1" itemPrintTitles="1" createdVersion="6" indent="0" outline="1" outlineData="1" multipleFieldFilters="0" chartFormat="4">
  <location ref="B102:C106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Число элементов в столбце Заводской_номер" fld="0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Перечни_из_цехов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3995B-861F-43EA-A0DB-41C25FBFD966}" name="Сводная таблица4" cacheId="2" applyNumberFormats="0" applyBorderFormats="0" applyFontFormats="0" applyPatternFormats="0" applyAlignmentFormats="0" applyWidthHeightFormats="1" dataCaption="Значения" tag="83e94d99-5a04-4e36-8f33-e3129e1b3e3b" updatedVersion="6" minRefreshableVersion="3" useAutoFormatting="1" itemPrintTitles="1" createdVersion="6" indent="0" outline="1" outlineData="1" multipleFieldFilters="0">
  <location ref="B65:D75" firstHeaderRow="0" firstDataRow="1" firstDataCol="1"/>
  <pivotFields count="4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Число элементов в столбце Заводской_номер" fld="1" subtotal="count" baseField="0" baseItem="0"/>
    <dataField name="Среднее по столбцу Цена_часа_простоя_руб" fld="2" subtotal="average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Цена_часа_простоя_руб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Перечни_из_цехов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081F8-4377-4680-A39F-30370DD5F3DE}" name="Сводная таблица3" cacheId="6" applyNumberFormats="0" applyBorderFormats="0" applyFontFormats="0" applyPatternFormats="0" applyAlignmentFormats="0" applyWidthHeightFormats="1" dataCaption="Значения" tag="064f941b-18b8-4dac-8545-bc8e9a9f2a99" updatedVersion="6" minRefreshableVersion="3" useAutoFormatting="1" itemPrintTitles="1" createdVersion="6" indent="0" outline="1" outlineData="1" multipleFieldFilters="0" chartFormat="3">
  <location ref="B42:D55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Перечни_из_цехов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D9B6B-4434-48DA-827C-FF24235F8CE1}" name="Сводная таблица2" cacheId="1" applyNumberFormats="0" applyBorderFormats="0" applyFontFormats="0" applyPatternFormats="0" applyAlignmentFormats="0" applyWidthHeightFormats="1" dataCaption="Значения" tag="73414ef0-78cb-468d-a420-c822b8f1bf1a" updatedVersion="6" minRefreshableVersion="3" useAutoFormatting="1" itemPrintTitles="1" createdVersion="6" indent="0" outline="1" outlineData="1" multipleFieldFilters="0" chartFormat="8">
  <location ref="B22:C32" firstHeaderRow="1" firstDataRow="1" firstDataCol="1"/>
  <pivotFields count="4"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0">
    <i>
      <x v="3"/>
    </i>
    <i>
      <x v="6"/>
    </i>
    <i>
      <x v="1"/>
    </i>
    <i>
      <x v="5"/>
    </i>
    <i>
      <x v="2"/>
    </i>
    <i>
      <x/>
    </i>
    <i>
      <x v="8"/>
    </i>
    <i>
      <x v="7"/>
    </i>
    <i>
      <x v="4"/>
    </i>
    <i t="grand">
      <x/>
    </i>
  </rowItems>
  <colItems count="1">
    <i/>
  </colItems>
  <dataFields count="1">
    <dataField fld="1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Перечни_из_цехов].[Месяц_Плана].&amp;[02. Февраль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Перечни_из_цехов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Цех" xr10:uid="{B066D536-3FE4-4072-B5B4-09500CDA8FE7}" sourceName="[Перечни_из_цехов].[Цех]">
  <pivotTables>
    <pivotTable tabId="1" name="Сводная таблица3"/>
    <pivotTable tabId="1" name="Сводная таблица1"/>
    <pivotTable tabId="1" name="Сводная таблица2"/>
    <pivotTable tabId="1" name="Сводная таблица4"/>
    <pivotTable tabId="1" name="Сводная таблица5"/>
    <pivotTable tabId="1" name="Сводная таблица6"/>
    <pivotTable tabId="1" name="Сводная таблица7"/>
  </pivotTables>
  <data>
    <olap pivotCacheId="886990987">
      <levels count="2">
        <level uniqueName="[Перечни_из_цехов].[Цех].[(All)]" sourceCaption="(All)" count="0"/>
        <level uniqueName="[Перечни_из_цехов].[Цех].[Цех]" sourceCaption="Цех" count="9">
          <ranges>
            <range startItem="0">
              <i n="[Перечни_из_цехов].[Цех].&amp;[Водоснабжение]" c="Водоснабжение"/>
              <i n="[Перечни_из_цехов].[Цех].&amp;[Газовая котельная]" c="Газовая котельная"/>
              <i n="[Перечни_из_цехов].[Цех].&amp;[Лаборатория]" c="Лаборатория"/>
              <i n="[Перечни_из_цехов].[Цех].&amp;[МЭЦ (Экстракция)]" c="МЭЦ (Экстракция)"/>
              <i n="[Перечни_из_цехов].[Цех].&amp;[Прессовый цех]" c="Прессовый цех"/>
              <i n="[Перечни_из_цехов].[Цех].&amp;[Служба механиков]" c="Служба механиков"/>
              <i n="[Перечни_из_цехов].[Цех].&amp;[Фасовка]" c="Фасовка"/>
              <i n="[Перечни_из_цехов].[Цех].&amp;[Цех рафинации]" c="Цех рафинации"/>
              <i n="[Перечни_из_цехов].[Цех].&amp;[Элеватор]" c="Элеватор"/>
            </range>
          </ranges>
        </level>
      </levels>
      <selections count="1">
        <selection n="[Перечни_из_цехов].[Цех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_Название" xr10:uid="{540A3125-FFA8-465D-A28B-61D64CD90FBA}" sourceName="[Перечни_из_цехов].[Месяц_Название]">
  <pivotTables>
    <pivotTable tabId="1" name="Сводная таблица3"/>
    <pivotTable tabId="1" name="Сводная таблица1"/>
    <pivotTable tabId="1" name="Сводная таблица2"/>
    <pivotTable tabId="1" name="Сводная таблица4"/>
    <pivotTable tabId="1" name="Сводная таблица5"/>
    <pivotTable tabId="1" name="Сводная таблица6"/>
    <pivotTable tabId="1" name="Сводная таблица7"/>
  </pivotTables>
  <data>
    <olap pivotCacheId="886990987">
      <levels count="2">
        <level uniqueName="[Перечни_из_цехов].[Месяц_Название].[(All)]" sourceCaption="(All)" count="0"/>
        <level uniqueName="[Перечни_из_цехов].[Месяц_Название].[Месяц_Название]" sourceCaption="Месяц_Название" count="12">
          <ranges>
            <range startItem="0">
              <i n="[Перечни_из_цехов].[Месяц_Название].&amp;[Январь]" c="Январь"/>
              <i n="[Перечни_из_цехов].[Месяц_Название].&amp;[Февраль]" c="Февраль"/>
              <i n="[Перечни_из_цехов].[Месяц_Название].&amp;[Март]" c="Март"/>
              <i n="[Перечни_из_цехов].[Месяц_Название].&amp;[Апрель]" c="Апрель"/>
              <i n="[Перечни_из_цехов].[Месяц_Название].&amp;[Май]" c="Май"/>
              <i n="[Перечни_из_цехов].[Месяц_Название].&amp;[Июнь]" c="Июнь"/>
              <i n="[Перечни_из_цехов].[Месяц_Название].&amp;[Июль]" c="Июль"/>
              <i n="[Перечни_из_цехов].[Месяц_Название].&amp;[Август]" c="Август"/>
              <i n="[Перечни_из_цехов].[Месяц_Название].&amp;[Сентябрь]" c="Сентябрь"/>
              <i n="[Перечни_из_цехов].[Месяц_Название].&amp;[Октябрь]" c="Октябрь"/>
              <i n="[Перечни_из_цехов].[Месяц_Название].&amp;[Ноябрь]" c="Ноябрь"/>
              <i n="[Перечни_из_цехов].[Месяц_Название].&amp;[Декабрь]" c="Декабрь"/>
            </range>
          </ranges>
        </level>
      </levels>
      <selections count="1">
        <selection n="[Перечни_из_цехов].[Месяц_Название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Цех" xr10:uid="{D2957315-3167-461A-9640-F17A9356DD8C}" cache="Срез_Цех" caption="Цех" level="1" style="SlicerStyleLight3" rowHeight="216000"/>
  <slicer name="Месяц_Название 2" xr10:uid="{0CDF0550-4C41-4F71-96F8-F08CFC38EADC}" cache="Срез_Месяц_Название" caption="Месяц" level="1" style="SlicerStyleLight3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44"/>
  <sheetViews>
    <sheetView topLeftCell="A133" workbookViewId="0">
      <selection activeCell="J27" sqref="J27"/>
    </sheetView>
  </sheetViews>
  <sheetFormatPr defaultRowHeight="15" x14ac:dyDescent="0.25"/>
  <cols>
    <col min="2" max="2" width="17.28515625" bestFit="1" customWidth="1"/>
    <col min="3" max="3" width="17.7109375" bestFit="1" customWidth="1"/>
    <col min="4" max="4" width="27.140625" bestFit="1" customWidth="1"/>
    <col min="5" max="210" width="20.85546875" bestFit="1" customWidth="1"/>
    <col min="211" max="211" width="11.85546875" bestFit="1" customWidth="1"/>
  </cols>
  <sheetData>
    <row r="2" spans="2:3" x14ac:dyDescent="0.25">
      <c r="B2" s="1" t="s">
        <v>0</v>
      </c>
      <c r="C2" t="s">
        <v>11</v>
      </c>
    </row>
    <row r="3" spans="2:3" x14ac:dyDescent="0.25">
      <c r="B3" s="2" t="s">
        <v>6</v>
      </c>
      <c r="C3" s="3">
        <v>12000</v>
      </c>
    </row>
    <row r="4" spans="2:3" x14ac:dyDescent="0.25">
      <c r="B4" s="2" t="s">
        <v>3</v>
      </c>
      <c r="C4" s="3">
        <v>50000</v>
      </c>
    </row>
    <row r="5" spans="2:3" x14ac:dyDescent="0.25">
      <c r="B5" s="2" t="s">
        <v>9</v>
      </c>
      <c r="C5" s="3">
        <v>250000</v>
      </c>
    </row>
    <row r="6" spans="2:3" x14ac:dyDescent="0.25">
      <c r="B6" s="2" t="s">
        <v>1</v>
      </c>
      <c r="C6" s="3">
        <v>400000</v>
      </c>
    </row>
    <row r="7" spans="2:3" x14ac:dyDescent="0.25">
      <c r="B7" s="2" t="s">
        <v>2</v>
      </c>
      <c r="C7" s="3">
        <v>810000</v>
      </c>
    </row>
    <row r="8" spans="2:3" x14ac:dyDescent="0.25">
      <c r="B8" s="2" t="s">
        <v>8</v>
      </c>
      <c r="C8" s="3">
        <v>1040000</v>
      </c>
    </row>
    <row r="9" spans="2:3" x14ac:dyDescent="0.25">
      <c r="B9" s="2" t="s">
        <v>5</v>
      </c>
      <c r="C9" s="3">
        <v>1800000</v>
      </c>
    </row>
    <row r="10" spans="2:3" x14ac:dyDescent="0.25">
      <c r="B10" s="2" t="s">
        <v>7</v>
      </c>
      <c r="C10" s="3">
        <v>1800000</v>
      </c>
    </row>
    <row r="11" spans="2:3" x14ac:dyDescent="0.25">
      <c r="B11" s="2" t="s">
        <v>4</v>
      </c>
      <c r="C11" s="3">
        <v>2400000</v>
      </c>
    </row>
    <row r="12" spans="2:3" x14ac:dyDescent="0.25">
      <c r="B12" s="2" t="s">
        <v>10</v>
      </c>
      <c r="C12" s="3">
        <v>8562000</v>
      </c>
    </row>
    <row r="22" spans="2:3" x14ac:dyDescent="0.25">
      <c r="B22" s="1" t="s">
        <v>0</v>
      </c>
      <c r="C22" t="s">
        <v>12</v>
      </c>
    </row>
    <row r="23" spans="2:3" x14ac:dyDescent="0.25">
      <c r="B23" s="2" t="s">
        <v>4</v>
      </c>
      <c r="C23" s="3">
        <v>0</v>
      </c>
    </row>
    <row r="24" spans="2:3" x14ac:dyDescent="0.25">
      <c r="B24" s="2" t="s">
        <v>7</v>
      </c>
      <c r="C24" s="3">
        <v>0</v>
      </c>
    </row>
    <row r="25" spans="2:3" x14ac:dyDescent="0.25">
      <c r="B25" s="2" t="s">
        <v>2</v>
      </c>
      <c r="C25" s="3">
        <v>0</v>
      </c>
    </row>
    <row r="26" spans="2:3" x14ac:dyDescent="0.25">
      <c r="B26" s="2" t="s">
        <v>6</v>
      </c>
      <c r="C26" s="3">
        <v>129600</v>
      </c>
    </row>
    <row r="27" spans="2:3" x14ac:dyDescent="0.25">
      <c r="B27" s="2" t="s">
        <v>3</v>
      </c>
      <c r="C27" s="3">
        <v>168000</v>
      </c>
    </row>
    <row r="28" spans="2:3" x14ac:dyDescent="0.25">
      <c r="B28" s="2" t="s">
        <v>1</v>
      </c>
      <c r="C28" s="3">
        <v>360000</v>
      </c>
    </row>
    <row r="29" spans="2:3" x14ac:dyDescent="0.25">
      <c r="B29" s="2" t="s">
        <v>9</v>
      </c>
      <c r="C29" s="3">
        <v>2640000</v>
      </c>
    </row>
    <row r="30" spans="2:3" x14ac:dyDescent="0.25">
      <c r="B30" s="2" t="s">
        <v>8</v>
      </c>
      <c r="C30" s="3">
        <v>7296000</v>
      </c>
    </row>
    <row r="31" spans="2:3" x14ac:dyDescent="0.25">
      <c r="B31" s="2" t="s">
        <v>5</v>
      </c>
      <c r="C31" s="3">
        <v>8400000</v>
      </c>
    </row>
    <row r="32" spans="2:3" x14ac:dyDescent="0.25">
      <c r="B32" s="2" t="s">
        <v>10</v>
      </c>
      <c r="C32" s="3">
        <v>18993600</v>
      </c>
    </row>
    <row r="42" spans="2:4" x14ac:dyDescent="0.25">
      <c r="B42" s="1" t="s">
        <v>0</v>
      </c>
      <c r="C42" t="s">
        <v>13</v>
      </c>
      <c r="D42" t="s">
        <v>11</v>
      </c>
    </row>
    <row r="43" spans="2:4" x14ac:dyDescent="0.25">
      <c r="B43" s="2" t="s">
        <v>36</v>
      </c>
      <c r="C43" s="8">
        <v>48750</v>
      </c>
      <c r="D43" s="3">
        <v>317000</v>
      </c>
    </row>
    <row r="44" spans="2:4" x14ac:dyDescent="0.25">
      <c r="B44" s="2" t="s">
        <v>37</v>
      </c>
      <c r="C44" s="8">
        <v>79100</v>
      </c>
      <c r="D44" s="3">
        <v>575600</v>
      </c>
    </row>
    <row r="45" spans="2:4" x14ac:dyDescent="0.25">
      <c r="B45" s="2" t="s">
        <v>38</v>
      </c>
      <c r="C45" s="8">
        <v>111150</v>
      </c>
      <c r="D45" s="3">
        <v>536200</v>
      </c>
    </row>
    <row r="46" spans="2:4" x14ac:dyDescent="0.25">
      <c r="B46" s="2" t="s">
        <v>39</v>
      </c>
      <c r="C46" s="8">
        <v>109400</v>
      </c>
      <c r="D46" s="3">
        <v>634800</v>
      </c>
    </row>
    <row r="47" spans="2:4" x14ac:dyDescent="0.25">
      <c r="B47" s="2" t="s">
        <v>40</v>
      </c>
      <c r="C47" s="8">
        <v>68900</v>
      </c>
      <c r="D47" s="3">
        <v>500600</v>
      </c>
    </row>
    <row r="48" spans="2:4" x14ac:dyDescent="0.25">
      <c r="B48" s="2" t="s">
        <v>41</v>
      </c>
      <c r="C48" s="8">
        <v>73700</v>
      </c>
      <c r="D48" s="3">
        <v>635800</v>
      </c>
    </row>
    <row r="49" spans="2:4" x14ac:dyDescent="0.25">
      <c r="B49" s="2" t="s">
        <v>42</v>
      </c>
      <c r="C49" s="8">
        <v>117700</v>
      </c>
      <c r="D49" s="3">
        <v>632200</v>
      </c>
    </row>
    <row r="50" spans="2:4" x14ac:dyDescent="0.25">
      <c r="B50" s="2" t="s">
        <v>43</v>
      </c>
      <c r="C50" s="8">
        <v>105650</v>
      </c>
      <c r="D50" s="3">
        <v>401600</v>
      </c>
    </row>
    <row r="51" spans="2:4" x14ac:dyDescent="0.25">
      <c r="B51" s="2" t="s">
        <v>44</v>
      </c>
      <c r="C51" s="8">
        <v>579050</v>
      </c>
      <c r="D51" s="3">
        <v>2911200</v>
      </c>
    </row>
    <row r="52" spans="2:4" x14ac:dyDescent="0.25">
      <c r="B52" s="2" t="s">
        <v>45</v>
      </c>
      <c r="C52" s="8">
        <v>114200</v>
      </c>
      <c r="D52" s="3">
        <v>753000</v>
      </c>
    </row>
    <row r="53" spans="2:4" x14ac:dyDescent="0.25">
      <c r="B53" s="2" t="s">
        <v>46</v>
      </c>
      <c r="C53" s="8">
        <v>115500</v>
      </c>
      <c r="D53" s="3">
        <v>325000</v>
      </c>
    </row>
    <row r="54" spans="2:4" x14ac:dyDescent="0.25">
      <c r="B54" s="2" t="s">
        <v>47</v>
      </c>
      <c r="C54" s="8">
        <v>62150</v>
      </c>
      <c r="D54" s="3">
        <v>339000</v>
      </c>
    </row>
    <row r="55" spans="2:4" x14ac:dyDescent="0.25">
      <c r="B55" s="2" t="s">
        <v>10</v>
      </c>
      <c r="C55" s="8">
        <v>1585250</v>
      </c>
      <c r="D55" s="3">
        <v>8562000</v>
      </c>
    </row>
    <row r="65" spans="2:12" x14ac:dyDescent="0.25">
      <c r="B65" s="1" t="s">
        <v>0</v>
      </c>
      <c r="C65" t="s">
        <v>14</v>
      </c>
      <c r="D65" t="s">
        <v>15</v>
      </c>
      <c r="G65" t="s">
        <v>16</v>
      </c>
      <c r="H65" t="s">
        <v>17</v>
      </c>
      <c r="I65" t="s">
        <v>18</v>
      </c>
      <c r="K65" s="4" t="s">
        <v>19</v>
      </c>
      <c r="L65" s="4" t="s">
        <v>20</v>
      </c>
    </row>
    <row r="66" spans="2:12" x14ac:dyDescent="0.25">
      <c r="B66" s="2" t="s">
        <v>1</v>
      </c>
      <c r="C66" s="3">
        <v>40</v>
      </c>
      <c r="D66" s="3">
        <v>2500</v>
      </c>
      <c r="G66" t="str">
        <f>B66</f>
        <v>Водоснабжение</v>
      </c>
      <c r="H66">
        <f>GETPIVOTDATA("[Measures].[Число элементов в столбце Заводской_номер]",$B$65,"[Перечни_из_цехов].[Цех]","[Перечни_из_цехов].[Цех].&amp;[Водоснабжение]")</f>
        <v>40</v>
      </c>
      <c r="I66">
        <f>GETPIVOTDATA("[Measures].[Среднее по столбцу Цена_часа_простоя_руб]",$B$65,"[Перечни_из_цехов].[Цех]","[Перечни_из_цехов].[Цех].&amp;[Водоснабжение]")</f>
        <v>2500</v>
      </c>
      <c r="K66" s="4">
        <v>47</v>
      </c>
      <c r="L66" s="4">
        <v>100</v>
      </c>
    </row>
    <row r="67" spans="2:12" x14ac:dyDescent="0.25">
      <c r="B67" s="2" t="s">
        <v>2</v>
      </c>
      <c r="C67" s="3">
        <v>45</v>
      </c>
      <c r="D67" s="3">
        <v>6000</v>
      </c>
      <c r="G67" t="str">
        <f t="shared" ref="G67:G73" si="0">B67</f>
        <v>Газовая котельная</v>
      </c>
      <c r="H67">
        <f>GETPIVOTDATA("[Measures].[Число элементов в столбце Заводской_номер]",$B$65,"[Перечни_из_цехов].[Цех]","[Перечни_из_цехов].[Цех].&amp;[Газовая котельная]")</f>
        <v>45</v>
      </c>
      <c r="I67">
        <f>GETPIVOTDATA("[Measures].[Среднее по столбцу Цена_часа_простоя_руб]",$B$65,"[Перечни_из_цехов].[Цех]","[Перечни_из_цехов].[Цех].&amp;[Газовая котельная]")</f>
        <v>6000</v>
      </c>
      <c r="K67" s="4">
        <v>47</v>
      </c>
      <c r="L67" s="4">
        <v>100000</v>
      </c>
    </row>
    <row r="68" spans="2:12" x14ac:dyDescent="0.25">
      <c r="B68" s="2" t="s">
        <v>3</v>
      </c>
      <c r="C68" s="3">
        <v>50</v>
      </c>
      <c r="D68" s="3">
        <v>500</v>
      </c>
      <c r="G68" t="str">
        <f t="shared" si="0"/>
        <v>Лаборатория</v>
      </c>
      <c r="H68">
        <f>GETPIVOTDATA("[Measures].[Число элементов в столбце Заводской_номер]",$B$65,"[Перечни_из_цехов].[Цех]","[Перечни_из_цехов].[Цех].&amp;[Лаборатория]")</f>
        <v>50</v>
      </c>
      <c r="I68">
        <f>GETPIVOTDATA("[Measures].[Среднее по столбцу Цена_часа_простоя_руб]",$B$65,"[Перечни_из_цехов].[Цех]","[Перечни_из_цехов].[Цех].&amp;[Лаборатория]")</f>
        <v>500</v>
      </c>
    </row>
    <row r="69" spans="2:12" x14ac:dyDescent="0.25">
      <c r="B69" s="2" t="s">
        <v>4</v>
      </c>
      <c r="C69" s="3">
        <v>100</v>
      </c>
      <c r="D69" s="3">
        <v>12000</v>
      </c>
      <c r="G69" t="str">
        <f t="shared" si="0"/>
        <v>МЭЦ (Экстракция)</v>
      </c>
      <c r="H69">
        <f>GETPIVOTDATA("[Measures].[Число элементов в столбце Заводской_номер]",$B$65,"[Перечни_из_цехов].[Цех]","[Перечни_из_цехов].[Цех].&amp;[МЭЦ (Экстракция)]")</f>
        <v>100</v>
      </c>
      <c r="I69">
        <f>GETPIVOTDATA("[Measures].[Среднее по столбцу Цена_часа_простоя_руб]",$B$65,"[Перечни_из_цехов].[Цех]","[Перечни_из_цехов].[Цех].&amp;[МЭЦ (Экстракция)]")</f>
        <v>12000</v>
      </c>
    </row>
    <row r="70" spans="2:12" x14ac:dyDescent="0.25">
      <c r="B70" s="2" t="s">
        <v>5</v>
      </c>
      <c r="C70" s="3">
        <v>90</v>
      </c>
      <c r="D70" s="3">
        <v>10000</v>
      </c>
      <c r="G70" t="str">
        <f t="shared" si="0"/>
        <v>Прессовый цех</v>
      </c>
      <c r="H70">
        <f>GETPIVOTDATA("[Measures].[Число элементов в столбце Заводской_номер]",$B$65,"[Перечни_из_цехов].[Цех]","[Перечни_из_цехов].[Цех].&amp;[Прессовый цех]")</f>
        <v>90</v>
      </c>
      <c r="I70">
        <f>GETPIVOTDATA("[Measures].[Среднее по столбцу Цена_часа_простоя_руб]",$B$65,"[Перечни_из_цехов].[Цех]","[Перечни_из_цехов].[Цех].&amp;[Прессовый цех]")</f>
        <v>10000</v>
      </c>
      <c r="K70" s="4" t="s">
        <v>19</v>
      </c>
      <c r="L70" s="4" t="s">
        <v>20</v>
      </c>
    </row>
    <row r="71" spans="2:12" x14ac:dyDescent="0.25">
      <c r="B71" s="2" t="s">
        <v>6</v>
      </c>
      <c r="C71" s="3">
        <v>20</v>
      </c>
      <c r="D71" s="3">
        <v>300</v>
      </c>
      <c r="G71" t="str">
        <f t="shared" si="0"/>
        <v>Служба механиков</v>
      </c>
      <c r="H71">
        <f>GETPIVOTDATA("[Measures].[Число элементов в столбце Заводской_номер]",$B$65,"[Перечни_из_цехов].[Цех]","[Перечни_из_цехов].[Цех].&amp;[Служба механиков]")</f>
        <v>20</v>
      </c>
      <c r="I71">
        <f>GETPIVOTDATA("[Measures].[Среднее по столбцу Цена_часа_простоя_руб]",$B$65,"[Перечни_из_цехов].[Цех]","[Перечни_из_цехов].[Цех].&amp;[Служба механиков]")</f>
        <v>300</v>
      </c>
      <c r="K71" s="4">
        <v>0</v>
      </c>
      <c r="L71" s="4">
        <v>4000</v>
      </c>
    </row>
    <row r="72" spans="2:12" x14ac:dyDescent="0.25">
      <c r="B72" s="2" t="s">
        <v>7</v>
      </c>
      <c r="C72" s="3">
        <v>15</v>
      </c>
      <c r="D72" s="3">
        <v>30000</v>
      </c>
      <c r="G72" t="str">
        <f t="shared" si="0"/>
        <v>Фасовка</v>
      </c>
      <c r="H72">
        <f>GETPIVOTDATA("[Measures].[Число элементов в столбце Заводской_номер]",$B$65,"[Перечни_из_цехов].[Цех]","[Перечни_из_цехов].[Цех].&amp;[Фасовка]")</f>
        <v>15</v>
      </c>
      <c r="I72">
        <f>GETPIVOTDATA("[Measures].[Среднее по столбцу Цена_часа_простоя_руб]",$B$65,"[Перечни_из_цехов].[Цех]","[Перечни_из_цехов].[Цех].&amp;[Фасовка]")</f>
        <v>30000</v>
      </c>
      <c r="K72" s="4">
        <v>120</v>
      </c>
      <c r="L72" s="4">
        <v>4000</v>
      </c>
    </row>
    <row r="73" spans="2:12" x14ac:dyDescent="0.25">
      <c r="B73" s="2" t="s">
        <v>8</v>
      </c>
      <c r="C73" s="3">
        <v>65</v>
      </c>
      <c r="D73" s="3">
        <v>8000</v>
      </c>
      <c r="G73" t="str">
        <f t="shared" si="0"/>
        <v>Цех рафинации</v>
      </c>
      <c r="H73">
        <f>GETPIVOTDATA("[Measures].[Число элементов в столбце Заводской_номер]",$B$65,"[Перечни_из_цехов].[Цех]","[Перечни_из_цехов].[Цех].&amp;[Цех рафинации]")</f>
        <v>65</v>
      </c>
      <c r="I73">
        <f>GETPIVOTDATA("[Measures].[Среднее по столбцу Цена_часа_простоя_руб]",$B$65,"[Перечни_из_цехов].[Цех]","[Перечни_из_цехов].[Цех].&amp;[Цех рафинации]")</f>
        <v>8000</v>
      </c>
    </row>
    <row r="74" spans="2:12" x14ac:dyDescent="0.25">
      <c r="B74" s="2" t="s">
        <v>9</v>
      </c>
      <c r="C74" s="3">
        <v>25</v>
      </c>
      <c r="D74" s="3">
        <v>5000</v>
      </c>
      <c r="G74" t="str">
        <f>B74</f>
        <v>Элеватор</v>
      </c>
      <c r="H74">
        <f>GETPIVOTDATA("[Measures].[Число элементов в столбце Заводской_номер]",$B$65,"[Перечни_из_цехов].[Цех]","[Перечни_из_цехов].[Цех].&amp;[Элеватор]")</f>
        <v>25</v>
      </c>
      <c r="I74">
        <f>GETPIVOTDATA("[Measures].[Среднее по столбцу Цена_часа_простоя_руб]",$B$65,"[Перечни_из_цехов].[Цех]","[Перечни_из_цехов].[Цех].&amp;[Элеватор]")</f>
        <v>5000</v>
      </c>
    </row>
    <row r="75" spans="2:12" x14ac:dyDescent="0.25">
      <c r="B75" s="2" t="s">
        <v>10</v>
      </c>
      <c r="C75" s="3">
        <v>450</v>
      </c>
      <c r="D75" s="3">
        <v>7991.1111111111113</v>
      </c>
    </row>
    <row r="102" spans="2:5" x14ac:dyDescent="0.25">
      <c r="B102" s="1" t="s">
        <v>0</v>
      </c>
      <c r="C102" t="s">
        <v>14</v>
      </c>
      <c r="E102" t="s">
        <v>24</v>
      </c>
    </row>
    <row r="103" spans="2:5" x14ac:dyDescent="0.25">
      <c r="B103" s="2" t="s">
        <v>21</v>
      </c>
      <c r="C103" s="3">
        <v>75</v>
      </c>
    </row>
    <row r="104" spans="2:5" x14ac:dyDescent="0.25">
      <c r="B104" s="2" t="s">
        <v>22</v>
      </c>
      <c r="C104" s="3">
        <v>147</v>
      </c>
    </row>
    <row r="105" spans="2:5" x14ac:dyDescent="0.25">
      <c r="B105" s="2" t="s">
        <v>23</v>
      </c>
      <c r="C105" s="3">
        <v>228</v>
      </c>
    </row>
    <row r="106" spans="2:5" x14ac:dyDescent="0.25">
      <c r="B106" s="2" t="s">
        <v>10</v>
      </c>
      <c r="C106" s="3">
        <v>450</v>
      </c>
    </row>
    <row r="125" spans="2:3" x14ac:dyDescent="0.25">
      <c r="B125" s="1" t="s">
        <v>0</v>
      </c>
      <c r="C125" t="s">
        <v>11</v>
      </c>
    </row>
    <row r="126" spans="2:3" x14ac:dyDescent="0.25">
      <c r="B126" s="2" t="s">
        <v>25</v>
      </c>
      <c r="C126" s="3">
        <v>11000</v>
      </c>
    </row>
    <row r="127" spans="2:3" x14ac:dyDescent="0.25">
      <c r="B127" s="2" t="s">
        <v>26</v>
      </c>
      <c r="C127" s="3">
        <v>1480000</v>
      </c>
    </row>
    <row r="128" spans="2:3" x14ac:dyDescent="0.25">
      <c r="B128" s="2" t="s">
        <v>27</v>
      </c>
      <c r="C128" s="3">
        <v>45000</v>
      </c>
    </row>
    <row r="129" spans="2:3" x14ac:dyDescent="0.25">
      <c r="B129" s="2" t="s">
        <v>28</v>
      </c>
      <c r="C129" s="3">
        <v>2928000</v>
      </c>
    </row>
    <row r="130" spans="2:3" x14ac:dyDescent="0.25">
      <c r="B130" s="2" t="s">
        <v>29</v>
      </c>
      <c r="C130" s="3">
        <v>2193600</v>
      </c>
    </row>
    <row r="131" spans="2:3" x14ac:dyDescent="0.25">
      <c r="B131" s="2" t="s">
        <v>30</v>
      </c>
      <c r="C131" s="3">
        <v>1188000</v>
      </c>
    </row>
    <row r="132" spans="2:3" x14ac:dyDescent="0.25">
      <c r="B132" s="2" t="s">
        <v>31</v>
      </c>
      <c r="C132" s="3">
        <v>716400</v>
      </c>
    </row>
    <row r="133" spans="2:3" x14ac:dyDescent="0.25">
      <c r="B133" s="2" t="s">
        <v>10</v>
      </c>
      <c r="C133" s="3">
        <v>8562000</v>
      </c>
    </row>
    <row r="140" spans="2:3" x14ac:dyDescent="0.25">
      <c r="B140" t="s">
        <v>32</v>
      </c>
      <c r="C140" t="s">
        <v>33</v>
      </c>
    </row>
    <row r="141" spans="2:3" x14ac:dyDescent="0.25">
      <c r="B141" s="5">
        <v>1800000</v>
      </c>
    </row>
    <row r="143" spans="2:3" x14ac:dyDescent="0.25">
      <c r="B143" t="s">
        <v>34</v>
      </c>
    </row>
    <row r="144" spans="2:3" x14ac:dyDescent="0.25">
      <c r="B144" t="str">
        <f>"Риск срыва SLA поставок в ритейл: " &amp; TEXT(GETPIVOTDATA("[Measures].[Риск_SLA_Поставок]",$B$140), "0") &amp; " руб."</f>
        <v>Риск срыва SLA поставок в ритейл: 1800000 руб.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97B6-E3EF-4C56-AB20-1E19D20D77AD}">
  <dimension ref="E1"/>
  <sheetViews>
    <sheetView showGridLines="0" showRowColHeaders="0" tabSelected="1" workbookViewId="0">
      <selection activeCell="AD45" sqref="AD45"/>
    </sheetView>
  </sheetViews>
  <sheetFormatPr defaultRowHeight="15" x14ac:dyDescent="0.25"/>
  <cols>
    <col min="1" max="16384" width="9.140625" style="6"/>
  </cols>
  <sheetData>
    <row r="1" spans="5:5" ht="26.25" x14ac:dyDescent="0.45">
      <c r="E1" s="7" t="s">
        <v>35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��>B5=F80;L=K9_ 8A:_&5E0>B5=F80;L=K9_ 8A:_&5E0 50;L=K9_#1KB>:_@>A@>G:8 50;L=K9_#1KB>:_@>A@>G:8N465B_>25@>:N465B_>25@>: 8A:>AB02>: 8A:>AB02>:
</file>

<file path=customXml/item2.xml>��!B>8<>ABL_?@>AB>O@09A5@5G=8_87_F5E>2C@=0;_2K?>;=5=85
</file>

<file path=customXml/item3.xml>��@09A0720=85_!"8?_!&5=0_?>25@:8_@C10720=85_!"8?_!&5=0_?>25@:8_@C1
</file>

<file path=customXml/item4.xml>��@09A!B>8<>ABL_?@>AB>O5@5G=8_87_F5E>2C@=0;_2K?>;=5=85
</file>

<file path=customXml/item5.xml>��>B5=F80;L=K9_ 8A:_&5E0>B5=F80;L=K9_ 8A:_&5E0 50;L=K9_#1KB>:_@>A@>G:8 50;L=K9_#1KB>:_@>A@>G:8N465B_>25@>:N465B_>25@>: 8A:>AB02>: 8A:>AB02>:
</file>

<file path=customXml/item6.xml>��
</file>

<file path=customXml/item7.xml>��!B>8<>ABL_?@>AB>O&5E&5=0_G0A0_?@>AB>O_@C1@5<O_2>AAB0=>2;5=8O_G0A@8B8G=>ABL&5E&5=0_G0A0_?@>AB>O_@C1@5<O_2>AAB0=>2;5=8O_G0A@8B8G=>ABL
</file>

<file path=customXml/item8.xml>��
</file>

<file path=customXml/item9.xml>��!B>8<>ABL_?@>AB>O!B>8<>ABL_?@>AB>O&5E&5=0_G0A0_?@>AB>O_@C1@5<O_2>AAB0=>2;5=8O_G0A@8B8G=>ABL&5E&5=0_G0A0_?@>AB>O_@C1@5<O_2>AAB0=>2;5=8O_G0A@8B8G=>ABLC@=0;_2K?>;=5=85C@=0;_2K?>;=5=8502>4A:>9_=><5@0720=85_!"8?_!0B0_D0:B0 57C;LB0B02>4A:>9_=><5@0720=85_!"8?_!0B0_D0:B0 57C;LB0B@09A!B>8<>ABL_?@>AB>O5@5G=8_87_F5E>2C@=0;_2K?>;=5=85@09A@09A0720=85_!@09A"8?_!@09A&5=0_?>25@:8_@C1!B>8<>ABL_?@>AB>O!B>8<>ABL_?@>AB>O&5E!B>8<>ABL_?@>AB>O&5=0_G0A0_?@>AB>O_@C1!B>8<>ABL_?@>AB>O@5<O_2>AAB0=>2;5=8O_G0A!B>8<>ABL_?@>AB>O@8B8G=>ABL5@5G=8_87_F5E>25@5G=8_87_F5E>202>4A:>9_=><5@5@5G=8_87_F5E>20720=85_!5@5G=8_87_F5E>2"8?_!5@5G=8_87_F5E>2&5E5@5G=8_87_F5E>2"8?_@01>BK5@5G=8_87_F5E>2_<5A5@5G=8_87_F5E>20B0_?>A;54=59_?>25@:85@5G=8_87_F5E>20B0_D0:B05@5G=8_87_F5E>2 57C;LB0B5@5G=8_87_F5E>2&5=0_G0A0_?@>AB>O_@C15@5G=8_87_F5E>2@5<O_2>AAB0=>2;5=8O_G0A5@5G=8_87_F5E>2@8B8G=>ABL5@5G=8_87_F5E>2&5=0_?>25@:8_@C15@5G=8_87_F5E>20B0_A;54CNI59_?>25@:85@5G=8_87_F5E>2=8_@0AG5B=K55@5G=8_87_F5E>2=8_?@>AB>O5@5G=8_87_F5E>2#1KB>:_@C15@5G=8_87_F5E>2;0AA_:@8B8G=>AB85@5G=8_87_F5E>2#1KB>:_?@8_020@88_@C15@5G=8_87_F5E>25AOF_;0=05@5G=8_87_F5E>2'8A;> M;5<5=B>2 2 AB>;1F5 02>4A:>9_=><5@5@5G=8_87_F5E>2\'8A;> M;5<5=B>2 2 AB>;1F5 02>4A:>9_=><5@5O2=0O <5@05@5G=8_87_F5E>2!C<<0 ?> AB>;1FC &5=0_G0A0_?@>AB>O_@C15@5G=8_87_F5E>2\!C<<0 ?> AB>;1FC &5=0_G0A0_?@>AB>O_@C15O2=0O <5@05@5G=8_87_F5E>2!@54=55 ?> AB>;1FC &5=0_G0A0_?@>AB>O_@C15@5G=8_87_F5E>2\!@54=55 ?> AB>;1FC &5=0_G0A0_?@>AB>O_@C15O2=0O <5@05@5G=8_87_F5E>2!C<<0 ?> AB>;1FC #1KB>:_@C15@5G=8_87_F5E>2\!C<<0 ?> AB>;1FC #1KB>:_@C15O2=0O <5@05@5G=8_87_F5E>2>B5=F80;L=K9_ 8A:_&5E05@5G=8_87_F5E>2 50;L=K9_#1KB>:_@>A@>G:85@5G=8_87_F5E>2N465B_>25@>:5@5G=8_87_F5E>2 8A:>AB02>:C@=0;_2K?>;=5=85C@=0;_2K?>;=5=8502>4A:>9_=><5@C@=0;_2K?>;=5=850720=85_!C@=0;_2K?>;=5=85"8?_!C@=0;_2K?>;=5=850B0_D0:B0C@=0;_2K?>;=5=85 57C;LB0B5@5G=8_87_F5E>20720=85_!@09A0720=85_!5@5G=8_87_F5E>20720=85_!@09A0720=85_!5@5G=8_87_F5E>20720=85_!@09A0720=85_!5@5G=8_87_F5E>20720=85_!@09A0720=85_!5@5G=8_87_F5E>2&5E!B>8<>ABL_?@>AB>O&5E5@5G=8_87_F5E>2&5E!B>8<>ABL_?@>AB>O&5E5@5G=8_87_F5E>2&5E!B>8<>ABL_?@>AB>O&5E5@5G=8_87_F5E>2&5E!B>8<>ABL_?@>AB>O&5EC@=0;_2K?>;=5=8502>4A:>9_=><5@5@5G=8_87_F5E>202>4A:>9_=><5@C@=0;_2K?>;=5=8502>4A:>9_=><5@5@5G=8_87_F5E>202>4A:>9_=><5@C@=0;_2K?>;=5=8502>4A:>9_=><5@5@5G=8_87_F5E>202>4A:>9_=><5@C@=0;_2K?>;=5=8502>4A:>9_=><5@5@5G=8_87_F5E>202>4A:>9_=><5@5@5G=8_87_F5E>2@09A!B>8<>ABL_?@>AB>O5@5G=8_87_F5E>2C@=0;_2K?>;=5=85@09A@09A0720=85_!@09A"8?_!@09A&5=0_?>25@:8_@C1!B>8<>ABL_?@>AB>O!B>8<>ABL_?@>AB>O&5E!B>8<>ABL_?@>AB>O&5=0_G0A0_?@>AB>O_@C1!B>8<>ABL_?@>AB>O@5<O_2>AAB0=>2;5=8O_G0A!B>8<>ABL_?@>AB>O@8B8G=>ABL5@5G=8_87_F5E>25@5G=8_87_F5E>202>4A:>9_=><5@5@5G=8_87_F5E>20720=85_!5@5G=8_87_F5E>2"8?_!5@5G=8_87_F5E>2&5E5@5G=8_87_F5E>2"8?_@01>BK5@5G=8_87_F5E>2_<5A5@5G=8_87_F5E>20B0_?>A;54=59_?>25@:85@5G=8_87_F5E>20B0_D0:B05@5G=8_87_F5E>2 57C;LB0B5@5G=8_87_F5E>2&5=0_G0A0_?@>AB>O_@C15@5G=8_87_F5E>2@5<O_2>AAB0=>2;5=8O_G0A5@5G=8_87_F5E>2@8B8G=>ABL5@5G=8_87_F5E>2&5=0_?>25@:8_@C15@5G=8_87_F5E>20B0_A;54CNI59_?>25@:85@5G=8_87_F5E>2=8_@0AG5B=K55@5G=8_87_F5E>2=8_?@>AB>O5@5G=8_87_F5E>2#1KB>:_@C15@5G=8_87_F5E>2;0AA_:@8B8G=>AB85@5G=8_87_F5E>2#1KB>:_?@8_020@88_@C15@5G=8_87_F5E>25AOF_;0=05@5G=8_87_F5E>2'8A;> M;5<5=B>2 2 AB>;1F5 02>4A:>9_=><5@5@5G=8_87_F5E>2\'8A;> M;5<5=B>2 2 AB>;1F5 02>4A:>9_=><5@5O2=0O <5@05@5G=8_87_F5E>2!C<<0 ?> AB>;1FC &5=0_G0A0_?@>AB>O_@C15@5G=8_87_F5E>2\!C<<0 ?> AB>;1FC &5=0_G0A0_?@>AB>O_@C15O2=0O <5@05@5G=8_87_F5E>2!@54=55 ?> AB>;1FC &5=0_G0A0_?@>AB>O_@C15@5G=8_87_F5E>2\!@54=55 ?> AB>;1FC &5=0_G0A0_?@>AB>O_@C15O2=0O <5@05@5G=8_87_F5E>2!C<<0 ?> AB>;1FC #1KB>:_@C15@5G=8_87_F5E>2\!C<<0 ?> AB>;1FC #1KB>:_@C15O2=0O <5@05@5G=8_87_F5E>2>B5=F80;L=K9_ 8A:_&5E05@5G=8_87_F5E>2 50;L=K9_#1KB>:_@>A@>G:85@5G=8_87_F5E>2N465B_>25@>:5@5G=8_87_F5E>2 8A:>AB02>:C@=0;_2K?>;=5=85C@=0;_2K?>;=5=8502>4A:>9_=><5@C@=0;_2K?>;=5=850720=85_!C@=0;_2K?>;=5=85"8?_!C@=0;_2K?>;=5=850B0_D0:B0C@=0;_2K?>;=5=85 57C;LB0B5@5G=8_87_F5E>20720=85_!@09A0720=85_!>=5G=0O B>G:0>=5G=0O B>G:05@5G=8_87_F5E>20720=85_!@09A0720=85_!5@5G=8_87_F5E>20720=85_!@09A0720=85_!5@5G=8_87_F5E>20720=85_!@09A0720=85_!5@5G=8_87_F5E>2&5E!B>8<>ABL_?@>AB>O&5E>=5G=0O B>G:0>=5G=0O B>G:05@5G=8_87_F5E>2&5E!B>8<>ABL_?@>AB>O&5E5@5G=8_87_F5E>2&5E!B>8<>ABL_?@>AB>O&5E5@5G=8_87_F5E>2&5E!B>8<>ABL_?@>AB>O&5EC@=0;_2K?>;=5=8502>4A:>9_=><5@5@5G=8_87_F5E>202>4A:>9_=><5@>=5G=0O B>G:0>=5G=0O B>G:0C@=0;_2K?>;=5=8502>4A:>9_=><5@5@5G=8_87_F5E>202>4A:>9_=><5@C@=0;_2K?>;=5=8502>4A:>9_=><5@5@5G=8_87_F5E>202>4A:>9_=><5@C@=0;_2K?>;=5=8502>4A:>9_=><5@5@5G=8_87_F5E>202>4A:>9_=><5@@09A@09A0720=85_!"8?_!&5=0_?>25@:8_@C10720=85_!"8?_!&5=0_?>25@:8_@C15@5G=8_87_F5E>25@5G=8_87_F5E>2'8A;> M;5<5=B>2 2 AB>;1F5 02>4A:>9_=><5@'8A;> M;5<5=B>2 2 AB>;1F5 02>4A:>9_=><5@$>@<C;0'8A;> M;5<5=B>2 2 AB>;1F5 02>4A:>9_=><5@=0G5=85!C<<0 ?> AB>;1FC &5=0_G0A0_?@>AB>O_@C1!C<<0 ?> AB>;1FC &5=0_G0A0_?@>AB>O_@C1$>@<C;0!C<<0 ?> AB>;1FC &5=0_G0A0_?@>AB>O_@C1=0G5=85!@54=55 ?> AB>;1FC &5=0_G0A0_?@>AB>O_@C1!@54=55 ?> AB>;1FC &5=0_G0A0_?@>AB>O_@C1$>@<C;0!@54=55 ?> AB>;1FC &5=0_G0A0_?@>AB>O_@C1=0G5=85!C<<0 ?> AB>;1FC #1KB>:_@C1!C<<0 ?> AB>;1FC #1KB>:_@C1$>@<C;0!C<<0 ?> AB>;1FC #1KB>:_@C1=0G5=85>B5=F80;L=K9_ 8A:_&5E0>B5=F80;L=K9_ 8A:_&5E0$>@<C;0>B5=F80;L=K9_ 8A:_&5E0=0G5=85 50;L=K9_#1KB>:_@>A@>G:8 50;L=K9_#1KB>:_@>A@>G:8$>@<C;0 50;L=K9_#1KB>:_@>A@>G:8=0G5=85N465B_>25@>:N465B_>25@>:$>@<C;0N465B_>25@>:=0G5=85 8A:>AB02>: 8A:>AB02>:$>@<C;0 8A:>AB02>:=0G5=8502>4A:>9_=><5@0720=85_!"8?_!&5E"8?_@01>BK_<5A0B0_?>A;54=59_?>25@:80B0_D0:B0 57C;LB0B&5=0_G0A0_?@>AB>O_@C1@5<O_2>AAB0=>2;5=8O_G0A@8B8G=>ABL&5=0_?>25@:8_@C10B0_A;54CNI59_?>25@:8=8_@0AG5B=K5=8_?@>AB>O#1KB>:_@C1;0AA_:@8B8G=>AB8#1KB>:_?@8_020@88_@C15AOF_;0=05AOF_0720=855AOF_><5@'8A;> M;5<5=B>2 2 AB>;1F5 02>4A:>9_=><5@02>4A:>9_=><5@'8A;> M;5<5=B>2 2 AB>;1F5 02>4A:>9_=><5@02>4A:>9_=><5@'8A;> M;5<5=B>2 2 AB>;1F5 02>4A:>9_=><5@02>4A:>9_=><5@!C<<0 ?> AB>;1FC &5=0_G0A0_?@>AB>O_@C1&5=0_G0A0_?@>AB>O_@C1!C<<0 ?> AB>;1FC &5=0_G0A0_?@>AB>O_@C1&5=0_G0A0_?@>AB>O_@C1!C<<0 ?> AB>;1FC &5=0_G0A0_?@>AB>O_@C1&5=0_G0A0_?@>AB>O_@C1!@54=55 ?> AB>;1FC &5=0_G0A0_?@>AB>O_@C1&5=0_G0A0_?@>AB>O_@C1!@54=55 ?> AB>;1FC &5=0_G0A0_?@>AB>O_@C1&5=0_G0A0_?@>AB>O_@C1!@54=55 ?> AB>;1FC &5=0_G0A0_?@>AB>O_@C1&5=0_G0A0_?@>AB>O_@C1!C<<0 ?> AB>;1FC #1KB>:_@C1#1KB>:_@C1!C<<0 ?> AB>;1FC #1KB>:_@C1#1KB>:_@C1!C<<0 ?> AB>;1FC #1KB>:_@C1#1KB>:_@C1'8A;> M;5<5=B>2 2 AB>;1F5 02>4A:>9_=><5@'8A;> M;5<5=B>2 2 AB>;1F5 02>4A:>9_=><5@$>@<C;0'8A;> M;5<5=B>2 2 AB>;1F5 02>4A:>9_=><5@=0G5=85!C<<0 ?> AB>;1FC &5=0_G0A0_?@>AB>O_@C1!C<<0 ?> AB>;1FC &5=0_G0A0_?@>AB>O_@C1$>@<C;0!C<<0 ?> AB>;1FC &5=0_G0A0_?@>AB>O_@C1=0G5=85!@54=55 ?> AB>;1FC &5=0_G0A0_?@>AB>O_@C1!@54=55 ?> AB>;1FC &5=0_G0A0_?@>AB>O_@C1$>@<C;0!@54=55 ?> AB>;1FC &5=0_G0A0_?@>AB>O_@C1=0G5=85!C<<0 ?> AB>;1FC #1KB>:_@C1!C<<0 ?> AB>;1FC #1KB>:_@C1$>@<C;0!C<<0 ?> AB>;1FC #1KB>:_@C1=0G5=85>B5=F80;L=K9_ 8A:_&5E0>B5=F80;L=K9_ 8A:_&5E0$>@<C;0>B5=F80;L=K9_ 8A:_&5E0=0G5=85 50;L=K9_#1KB>:_@>A@>G:8 50;L=K9_#1KB>:_@>A@>G:8$>@<C;0 50;L=K9_#1KB>:_@>A@>G:8=0G5=85N465B_>25@>:N465B_>25@>:$>@<C;0N465B_>25@>:=0G5=85 8A:>AB02>: 8A:>AB02>:$>@<C;0 8A:>AB02>:=0G5=8502>4A:>9_=><5@0720=85_!"8?_!&5E"8?_@01>BK_<5A0B0_?>A;54=59_?>25@:80B0_D0:B0 57C;LB0B&5=0_G0A0_?@>AB>O_@C1@5<O_2>AAB0=>2;5=8O_G0A@8B8G=>ABL&5=0_?>25@:8_@C10B0_A;54CNI59_?>25@:8=8_@0AG5B=K5=8_?@>AB>O#1KB>:_@C1;0AA_:@8B8G=>AB8#1KB>:_?@8_020@88_@C15AOF_;0=05AOF_0720=855AOF_><5@'8A;> M;5<5=B>2 2 AB>;1F5 02>4A:>9_=><5@02>4A:>9_=><5@'8A;> M;5<5=B>2 2 AB>;1F5 02>4A:>9_=><5@02>4A:>9_=><5@'8A;> M;5<5=B>2 2 AB>;1F5 02>4A:>9_=><5@02>4A:>9_=><5@!C<<0 ?> AB>;1FC &5=0_G0A0_?@>AB>O_@C1&5=0_G0A0_?@>AB>O_@C1!C<<0 ?> AB>;1FC &5=0_G0A0_?@>AB>O_@C1&5=0_G0A0_?@>AB>O_@C1!C<<0 ?> AB>;1FC &5=0_G0A0_?@>AB>O_@C1&5=0_G0A0_?@>AB>O_@C1!@54=55 ?> AB>;1FC &5=0_G0A0_?@>AB>O_@C1&5=0_G0A0_?@>AB>O_@C1!@54=55 ?> AB>;1FC &5=0_G0A0_?@>AB>O_@C1&5=0_G0A0_?@>AB>O_@C1!@54=55 ?> AB>;1FC &5=0_G0A0_?@>AB>O_@C1&5=0_G0A0_?@>AB>O_@C1!C<<0 ?> AB>;1FC #1KB>:_@C1#1KB>:_@C1!C<<0 ?> AB>;1FC #1KB>:_@C1#1KB>:_@C1!C<<0 ?> AB>;1FC #1KB>:_@C1#1KB>:_@C1
</file>

<file path=customXml/item10.xml>��
</file>

<file path=customXml/item11.xml>��C@=0;_2K?>;=5=8502>4A:>9_=><5@0720=85_!"8?_!0B0_D0:B0 57C;LB0B02>4A:>9_=><5@0720=85_!"8?_!0B0_D0:B0 57C;LB0B
</file>

<file path=customXml/item12.xml>��>B5=F80;L=K9_ 8A:_&5E0>B5=F80;L=K9_ 8A:_&5E0 50;L=K9_#1KB>:_@>A@>G:8 50;L=K9_#1KB>:_@>A@>G:8N465B_>25@>:N465B_>25@>:
</file>

<file path=customXml/item13.xml>��>B5=F80;L=K9_ 8A:_&5E0>B5=F80;L=K9_ 8A:_&5E0 50;L=K9_#1KB>:_@>A@>G:8 50;L=K9_#1KB>:_@>A@>G:8N465B_>25@>:N465B_>25@>: 8A:>AB02>: 8A:>AB02>:
</file>

<file path=customXml/item14.xml>��>B5=F80;L=K9_ 8A:_&5E0>B5=F80;L=K9_ 8A:_&5E0 50;L=K9_#1KB>:_@>A@>G:8 50;L=K9_#1KB>:_@>A@>G:8N465B_>25@>:N465B_>25@>: 8A:>AB02>: 8A:>AB02>:
</file>

<file path=customXml/item15.xml>��5@5G=8_87_F5E>2
</file>

<file path=customXml/item16.xml>��@09A@09A0720=85_!"8?_!&5=0_?>25@:8_@C1!B>8<>ABL_?@>AB>O!B>8<>ABL_?@>AB>O&5E&5=0_G0A0_?@>AB>O_@C1@5<O_2>AAB0=>2;5=8O_G0A@8B8G=>ABLC@=0;_2K?>;=5=85C@=0;_2K?>;=5=8502>4A:>9_=><5@0720=85_!"8?_!0B0_D0:B0 57C;LB0B#1KB>:_@C15@5G=8_87_F5E>25@5G=8_87_F5E>202>4A:>9_=><5@0720=85_!"8?_!&5E"8?_@01>BK_<5A0B0_?>A;54=59_?>25@:80B0_D0:B0 57C;LB0B&5=0_G0A0_?@>AB>O_@C1@5<O_2>AAB0=>2;5=8O_G0A@8B8G=>ABL&5=0_?>25@:8_@C10B0_A;54CNI59_?>25@:8=8_@0AG5B=K5=8_?@>AB>O#1KB>:_@C1;0AA_:@8B8G=>AB8#1KB>:_?@8_020@88_@C15AOF_;0=05AOF_0720=855AOF_><5@
</file>

<file path=customXml/item17.xml>��
</file>

<file path=customXml/item18.xml>��
</file>

<file path=customXml/item19.xml>��
</file>

<file path=customXml/item20.xml>��>B5=F80;L=K9_ 8A:_&5E0>B5=F80;L=K9_ 8A:_&5E0 50;L=K9_#1KB>:_@>A@>G:8 50;L=K9_#1KB>:_@>A@>G:8N465B_>25@>:N465B_>25@>: 8A:>AB02>: 8A:>AB02>:
</file>

<file path=customXml/item21.xml>��5@5G=8_87_F5E>202>4A:>9_=><5@0720=85_!"8?_!&5E"8?_@01>BK_<5A0B0_?>A;54=59_?>25@:80B0_D0:B0 57C;LB0B&5=0_G0A0_?@>AB>O_@C1@5<O_2>AAB0=>2;5=8O_G0A@8B8G=>ABL&5=0_?>25@:8_@C10B0_A;54CNI59_?>25@:8=8_@0AG5B=K5=8_?@>AB>O#1KB>:_@C1#1KB>:_?@8_020@88_@C15AOF_;0=0;0AA_:@8B8G=>AB85AOF_0720=855AOF_><5@02>4A:>9_=><5@0720=85_!"8?_!&5E"8?_@01>BK_<5A0B0_?>A;54=59_?>25@:80B0_D0:B0 57C;LB0B&5=0_G0A0_?@>AB>O_@C1@5<O_2>AAB0=>2;5=8O_G0A@8B8G=>ABL&5=0_?>25@:8_@C10B0_A;54CNI59_?>25@:8=8_@0AG5B=K5=8_?@>AB>O#1KB>:_@C1#1KB>:_?@8_020@88_@C15AOF_;0=0;0AA_:@8B8G=>AB85AOF_0720=855AOF_><5@
</file>

<file path=customXml/item22.xml>��>B5=F80;L=K9_ 8A:_&5E0>B5=F80;L=K9_ 8A:_&5E0 50;L=K9_#1KB>:_@>A@>G:8 50;L=K9_#1KB>:_@>A@>G:8N465B_>25@>:N465B_>25@>: 8A:>AB02>: 8A:>AB02>:
</file>

<file path=customXml/item23.xml>��
</file>

<file path=customXml/item24.xml>��
</file>

<file path=customXml/item25.xml>��
</file>

<file path=customXml/item26.xml>��C@=0;_2K?>;=5=8502>4A:>9_=><5@0720=85_!"8?_!0B0_D0:B0 57C;LB0B02>4A:>9_=><5@0720=85_!"8?_!0B0_D0:B0 57C;LB0B
</file>

<file path=customXml/item27.xml>��
</file>

<file path=customXml/item28.xml>��5@5G=8_87_F5E>202>4A:>9_=><5@0720=85_!"8?_!&5E"8?_@01>BK_<5A0B0_?>A;54=59_?>25@:80B0_D0:B0 57C;LB0B&5=0_G0A0_?@>AB>O_@C1@5<O_2>AAB0=>2;5=8O_G0A@8B8G=>ABL&5=0_?>25@:8_@C10B0_A;54CNI59_?>25@:8=8_@0AG5B=K5=8_?@>AB>O#1KB>:_@C102>4A:>9_=><5@0720=85_!"8?_!&5E"8?_@01>BK_<5A0B0_?>A;54=59_?>25@:80B0_D0:B0 57C;LB0B&5=0_G0A0_?@>AB>O_@C1@5<O_2>AAB0=>2;5=8O_G0A@8B8G=>ABL&5=0_?>25@:8_@C10B0_A;54CNI59_?>25@:8=8_@0AG5B=K5=8_?@>AB>O#1KB>:_@C1
</file>

<file path=customXml/item29.xml>��
</file>

<file path=customXml/itemProps1.xml><?xml version="1.0" encoding="utf-8"?>
<ds:datastoreItem xmlns:ds="http://schemas.openxmlformats.org/officeDocument/2006/customXml" ds:itemID="{5174ADED-D4DA-4E02-AB37-24C5D50A941E}">
  <ds:schemaRefs/>
</ds:datastoreItem>
</file>

<file path=customXml/itemProps2.xml><?xml version="1.0" encoding="utf-8"?>
<ds:datastoreItem xmlns:ds="http://schemas.openxmlformats.org/officeDocument/2006/customXml" ds:itemID="{C8A363D9-7AC5-47F1-B0F0-2BF00FA11992}">
  <ds:schemaRefs/>
</ds:datastoreItem>
</file>

<file path=customXml/itemProps3.xml><?xml version="1.0" encoding="utf-8"?>
<ds:datastoreItem xmlns:ds="http://schemas.openxmlformats.org/officeDocument/2006/customXml" ds:itemID="{4FD5620E-7010-4BC9-893F-F5A2118C1D5A}">
  <ds:schemaRefs/>
</ds:datastoreItem>
</file>

<file path=customXml/itemProps4.xml><?xml version="1.0" encoding="utf-8"?>
<ds:datastoreItem xmlns:ds="http://schemas.openxmlformats.org/officeDocument/2006/customXml" ds:itemID="{77D69B33-5BE8-4FD6-AA24-1752615F9663}">
  <ds:schemaRefs/>
</ds:datastoreItem>
</file>

<file path=customXml/itemProps5.xml><?xml version="1.0" encoding="utf-8"?>
<ds:datastoreItem xmlns:ds="http://schemas.openxmlformats.org/officeDocument/2006/customXml" ds:itemID="{74CE27CC-079F-408B-A5D8-D611E7C9F8EB}">
  <ds:schemaRefs/>
</ds:datastoreItem>
</file>

<file path=customXml/itemProps6.xml><?xml version="1.0" encoding="utf-8"?>
<ds:datastoreItem xmlns:ds="http://schemas.openxmlformats.org/officeDocument/2006/customXml" ds:itemID="{BE36B665-1ED2-4A21-B66F-D616163C14D5}">
  <ds:schemaRefs/>
</ds:datastoreItem>
</file>

<file path=customXml/itemProps7.xml><?xml version="1.0" encoding="utf-8"?>
<ds:datastoreItem xmlns:ds="http://schemas.openxmlformats.org/officeDocument/2006/customXml" ds:itemID="{01174B12-85DB-43E0-884F-35CB11A3F3F3}">
  <ds:schemaRefs/>
</ds:datastoreItem>
</file>

<file path=customXml/itemProps8.xml><?xml version="1.0" encoding="utf-8"?>
<ds:datastoreItem xmlns:ds="http://schemas.openxmlformats.org/officeDocument/2006/customXml" ds:itemID="{0154297F-4E4F-4B14-8AE8-7EDFEE943613}">
  <ds:schemaRefs/>
</ds:datastoreItem>
</file>

<file path=customXml/itemProps9.xml><?xml version="1.0" encoding="utf-8"?>
<ds:datastoreItem xmlns:ds="http://schemas.openxmlformats.org/officeDocument/2006/customXml" ds:itemID="{AE923F7D-CFBB-4BF1-BD9F-74DCDF18829C}">
  <ds:schemaRefs/>
</ds:datastoreItem>
</file>

<file path=customXml/itemProps10.xml><?xml version="1.0" encoding="utf-8"?>
<ds:datastoreItem xmlns:ds="http://schemas.openxmlformats.org/officeDocument/2006/customXml" ds:itemID="{5D65F252-83AE-47FF-8F46-555001747DA1}">
  <ds:schemaRefs/>
</ds:datastoreItem>
</file>

<file path=customXml/itemProps11.xml><?xml version="1.0" encoding="utf-8"?>
<ds:datastoreItem xmlns:ds="http://schemas.openxmlformats.org/officeDocument/2006/customXml" ds:itemID="{88202381-D8AE-4A48-9575-99A73BF70C84}">
  <ds:schemaRefs/>
</ds:datastoreItem>
</file>

<file path=customXml/itemProps12.xml><?xml version="1.0" encoding="utf-8"?>
<ds:datastoreItem xmlns:ds="http://schemas.openxmlformats.org/officeDocument/2006/customXml" ds:itemID="{81AB5C7E-19E4-47EF-BD8E-F5588AAC195D}">
  <ds:schemaRefs/>
</ds:datastoreItem>
</file>

<file path=customXml/itemProps13.xml><?xml version="1.0" encoding="utf-8"?>
<ds:datastoreItem xmlns:ds="http://schemas.openxmlformats.org/officeDocument/2006/customXml" ds:itemID="{B05C1797-9912-4457-B1DD-9BE041C27631}">
  <ds:schemaRefs/>
</ds:datastoreItem>
</file>

<file path=customXml/itemProps14.xml><?xml version="1.0" encoding="utf-8"?>
<ds:datastoreItem xmlns:ds="http://schemas.openxmlformats.org/officeDocument/2006/customXml" ds:itemID="{EAF583E4-27C6-4E88-8540-0B4723BDECAF}">
  <ds:schemaRefs/>
</ds:datastoreItem>
</file>

<file path=customXml/itemProps15.xml><?xml version="1.0" encoding="utf-8"?>
<ds:datastoreItem xmlns:ds="http://schemas.openxmlformats.org/officeDocument/2006/customXml" ds:itemID="{4D901B7F-F6FF-42D4-9FDB-6E281C9E5426}">
  <ds:schemaRefs/>
</ds:datastoreItem>
</file>

<file path=customXml/itemProps16.xml><?xml version="1.0" encoding="utf-8"?>
<ds:datastoreItem xmlns:ds="http://schemas.openxmlformats.org/officeDocument/2006/customXml" ds:itemID="{5402B65D-B4C7-4D9A-864B-61FEA865A1A8}">
  <ds:schemaRefs/>
</ds:datastoreItem>
</file>

<file path=customXml/itemProps17.xml><?xml version="1.0" encoding="utf-8"?>
<ds:datastoreItem xmlns:ds="http://schemas.openxmlformats.org/officeDocument/2006/customXml" ds:itemID="{52D724F4-B3C1-4B3F-8F35-B6562FA12BEA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5B775D57-DB5C-4AD9-ADF0-A6BA6E43C20F}">
  <ds:schemaRefs/>
</ds:datastoreItem>
</file>

<file path=customXml/itemProps19.xml><?xml version="1.0" encoding="utf-8"?>
<ds:datastoreItem xmlns:ds="http://schemas.openxmlformats.org/officeDocument/2006/customXml" ds:itemID="{92E40A60-0416-4616-AC6A-0C859D05D282}">
  <ds:schemaRefs/>
</ds:datastoreItem>
</file>

<file path=customXml/itemProps20.xml><?xml version="1.0" encoding="utf-8"?>
<ds:datastoreItem xmlns:ds="http://schemas.openxmlformats.org/officeDocument/2006/customXml" ds:itemID="{2DEF8556-4912-41BD-913B-A234E7893C12}">
  <ds:schemaRefs/>
</ds:datastoreItem>
</file>

<file path=customXml/itemProps21.xml><?xml version="1.0" encoding="utf-8"?>
<ds:datastoreItem xmlns:ds="http://schemas.openxmlformats.org/officeDocument/2006/customXml" ds:itemID="{B31CD34E-9329-4974-B0B4-121952566AF4}">
  <ds:schemaRefs/>
</ds:datastoreItem>
</file>

<file path=customXml/itemProps22.xml><?xml version="1.0" encoding="utf-8"?>
<ds:datastoreItem xmlns:ds="http://schemas.openxmlformats.org/officeDocument/2006/customXml" ds:itemID="{47244F50-77D2-4549-9E72-3D0D3EA1000E}">
  <ds:schemaRefs/>
</ds:datastoreItem>
</file>

<file path=customXml/itemProps23.xml><?xml version="1.0" encoding="utf-8"?>
<ds:datastoreItem xmlns:ds="http://schemas.openxmlformats.org/officeDocument/2006/customXml" ds:itemID="{D33517CD-78BD-4098-B6C0-DE917845520A}">
  <ds:schemaRefs/>
</ds:datastoreItem>
</file>

<file path=customXml/itemProps24.xml><?xml version="1.0" encoding="utf-8"?>
<ds:datastoreItem xmlns:ds="http://schemas.openxmlformats.org/officeDocument/2006/customXml" ds:itemID="{BBEE4ECD-E18C-4202-9C79-5BBCEA541F56}">
  <ds:schemaRefs/>
</ds:datastoreItem>
</file>

<file path=customXml/itemProps25.xml><?xml version="1.0" encoding="utf-8"?>
<ds:datastoreItem xmlns:ds="http://schemas.openxmlformats.org/officeDocument/2006/customXml" ds:itemID="{72FEBC39-6036-4264-BCF9-120BD70795B2}">
  <ds:schemaRefs/>
</ds:datastoreItem>
</file>

<file path=customXml/itemProps26.xml><?xml version="1.0" encoding="utf-8"?>
<ds:datastoreItem xmlns:ds="http://schemas.openxmlformats.org/officeDocument/2006/customXml" ds:itemID="{49E1EEAA-D4CC-46C2-9978-9B78E65C6A33}">
  <ds:schemaRefs/>
</ds:datastoreItem>
</file>

<file path=customXml/itemProps27.xml><?xml version="1.0" encoding="utf-8"?>
<ds:datastoreItem xmlns:ds="http://schemas.openxmlformats.org/officeDocument/2006/customXml" ds:itemID="{5689B303-4CA4-493D-9B13-7C89EDFE1D55}">
  <ds:schemaRefs/>
</ds:datastoreItem>
</file>

<file path=customXml/itemProps28.xml><?xml version="1.0" encoding="utf-8"?>
<ds:datastoreItem xmlns:ds="http://schemas.openxmlformats.org/officeDocument/2006/customXml" ds:itemID="{2DE5D586-F410-4E6E-95EC-813B4ADD4112}">
  <ds:schemaRefs/>
</ds:datastoreItem>
</file>

<file path=customXml/itemProps29.xml><?xml version="1.0" encoding="utf-8"?>
<ds:datastoreItem xmlns:ds="http://schemas.openxmlformats.org/officeDocument/2006/customXml" ds:itemID="{88041C66-FD46-4343-9126-4C49AC3955A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Сводные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2015-06-05T18:19:34Z</dcterms:created>
  <dcterms:modified xsi:type="dcterms:W3CDTF">2026-09-11T10:59:52Z</dcterms:modified>
</cp:coreProperties>
</file>